
<file path=[Content_Types].xml><?xml version="1.0" encoding="utf-8"?>
<Types xmlns="http://schemas.openxmlformats.org/package/2006/content-types">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tabRatio="888" activeTab="7"/>
  </bookViews>
  <sheets>
    <sheet name="目录" sheetId="39" r:id="rId1"/>
    <sheet name="对照" sheetId="58" state="hidden" r:id="rId2"/>
    <sheet name="试模总结报告" sheetId="21" r:id="rId3"/>
    <sheet name="模具表现评估" sheetId="22" r:id="rId4"/>
    <sheet name="试模参数记录表" sheetId="16" r:id="rId5"/>
    <sheet name="试模参数记录表-副射台" sheetId="59" state="hidden" r:id="rId6"/>
    <sheet name="模具问题点履历" sheetId="20" r:id="rId7"/>
    <sheet name="模具运水状况测试" sheetId="48" r:id="rId8"/>
    <sheet name="模具冷却均匀性测试" sheetId="5" r:id="rId9"/>
    <sheet name="有效粘度测试" sheetId="50" r:id="rId10"/>
    <sheet name="多型腔平衡测试" sheetId="51" r:id="rId11"/>
    <sheet name="压力损失测试" sheetId="52" r:id="rId12"/>
    <sheet name="保压压力测试" sheetId="53" r:id="rId13"/>
    <sheet name="浇口冻结时间测试" sheetId="54" r:id="rId14"/>
    <sheet name="冷却时间测试" sheetId="55" r:id="rId15"/>
    <sheet name="锁模力测试" sheetId="56" r:id="rId16"/>
    <sheet name="周期时间测试" sheetId="57" r:id="rId17"/>
  </sheets>
  <definedNames>
    <definedName name="_xlnm.Print_Area" localSheetId="8">模具冷却均匀性测试!$A$1:$L$43</definedName>
    <definedName name="_xlnm.Print_Area" localSheetId="4">试模参数记录表!$A$1:$BH$180</definedName>
    <definedName name="_xlnm.Print_Area" localSheetId="2">试模总结报告!$B$1:$L$38</definedName>
    <definedName name="走水平衡X轴" localSheetId="10">OFFSET(多型腔平衡测试!$A$19,COUNTIF(多型腔平衡测试!$B$20:$B$531,"&gt;0"),0,-COUNTIF(多型腔平衡测试!$B$20:$B$531,"&gt;0"),1)</definedName>
    <definedName name="走水平衡Y轴" localSheetId="10">OFFSET(多型腔平衡测试!$B$19,COUNTIF(多型腔平衡测试!$B$20:$B$531,"&gt;0"),0,-COUNTIF(多型腔平衡测试!$B$20:$B$531,"&gt;0"),1)</definedName>
    <definedName name="_xlnm.Print_Area" localSheetId="5">'试模参数记录表-副射台'!$A$1:$BH$179</definedName>
  </definedNames>
  <calcPr calcId="144525"/>
</workbook>
</file>

<file path=xl/comments1.xml><?xml version="1.0" encoding="utf-8"?>
<comments xmlns="http://schemas.openxmlformats.org/spreadsheetml/2006/main">
  <authors>
    <author>hscae</author>
  </authors>
  <commentList>
    <comment ref="A1" authorId="0">
      <text>
        <r>
          <rPr>
            <b/>
            <sz val="9"/>
            <rFont val="宋体"/>
            <charset val="134"/>
          </rPr>
          <t>hscae:
1.每三列为一组：sheet页,中文，英文
2.如果想要增加，在最后一行后面增加，不要修改前面的顺序和位置
3.如果想要修改某一个值，可以直接修改
4.如果想要删除某一个值，可以直接删除单元格内容，但是不要删除行和列</t>
        </r>
      </text>
    </comment>
    <comment ref="P1" authorId="0">
      <text>
        <r>
          <rPr>
            <b/>
            <sz val="9"/>
            <rFont val="宋体"/>
            <charset val="134"/>
          </rPr>
          <t>hscae:
1.每三列为一组：sheet页,中文，英文
2.如果想要增加，在最后一行后面增加，不要修改前面的顺序和位置
3.如果想要修改某一个值，可以直接修改
4.如果想要删除某一个值，可以直接删除单元格内容，但是不要删除行和列</t>
        </r>
      </text>
    </comment>
    <comment ref="Y1" authorId="0">
      <text>
        <r>
          <rPr>
            <b/>
            <sz val="9"/>
            <rFont val="宋体"/>
            <charset val="134"/>
          </rPr>
          <t>hscae:
1.每三列为一组：sheet页,中文，英文
2.如果想要增加，在最后一行后面增加，不要修改前面的顺序和位置
3.如果想要修改某一个值，可以直接修改
4.如果想要删除某一个值，可以直接删除单元格内容，但是不要删除行和列</t>
        </r>
      </text>
    </comment>
    <comment ref="AB1" authorId="0">
      <text>
        <r>
          <rPr>
            <b/>
            <sz val="9"/>
            <rFont val="宋体"/>
            <charset val="134"/>
          </rPr>
          <t>hscae:
1.每三列为一组：sheet页,中文，英文
2.如果想要增加，在最后一行后面增加，不要修改前面的顺序和位置
3.如果想要修改某一个值，可以直接修改
4.如果想要删除某一个值，可以直接删除单元格内容，但是不要删除行和列</t>
        </r>
      </text>
    </comment>
    <comment ref="AE1" authorId="0">
      <text>
        <r>
          <rPr>
            <b/>
            <sz val="9"/>
            <rFont val="宋体"/>
            <charset val="134"/>
          </rPr>
          <t>hscae:
1.每三列为一组：sheet页,中文，英文
2.如果想要增加，在最后一行后面增加，不要修改前面的顺序和位置
3.如果想要修改某一个值，可以直接修改
4.如果想要删除某一个值，可以直接删除单元格内容，但是不要删除行和列</t>
        </r>
      </text>
    </comment>
    <comment ref="AH1" authorId="0">
      <text>
        <r>
          <rPr>
            <b/>
            <sz val="9"/>
            <rFont val="宋体"/>
            <charset val="134"/>
          </rPr>
          <t>hscae:
1.每三列为一组：sheet页,中文，英文
2.如果想要增加，在最后一行后面增加，不要修改前面的顺序和位置
3.如果想要修改某一个值，可以直接修改
4.如果想要删除某一个值，可以直接删除单元格内容，但是不要删除行和列</t>
        </r>
      </text>
    </comment>
  </commentList>
</comments>
</file>

<file path=xl/comments2.xml><?xml version="1.0" encoding="utf-8"?>
<comments xmlns="http://schemas.openxmlformats.org/spreadsheetml/2006/main">
  <authors>
    <author>作者</author>
  </authors>
  <commentList>
    <comment ref="AA122" authorId="0">
      <text>
        <r>
          <rPr>
            <sz val="9"/>
            <rFont val="宋体"/>
            <charset val="134"/>
          </rPr>
          <t xml:space="preserve">PS:如射胶1S后关闭。
</t>
        </r>
      </text>
    </comment>
    <comment ref="AA145" authorId="0">
      <text>
        <r>
          <rPr>
            <sz val="9"/>
            <rFont val="宋体"/>
            <charset val="134"/>
          </rPr>
          <t xml:space="preserve">PS:如射胶1S后关闭。
</t>
        </r>
      </text>
    </comment>
    <comment ref="AA160" authorId="0">
      <text>
        <r>
          <rPr>
            <sz val="9"/>
            <rFont val="宋体"/>
            <charset val="134"/>
          </rPr>
          <t xml:space="preserve">PS:如射胶1S后关闭。
</t>
        </r>
      </text>
    </comment>
  </commentList>
</comments>
</file>

<file path=xl/comments3.xml><?xml version="1.0" encoding="utf-8"?>
<comments xmlns="http://schemas.openxmlformats.org/spreadsheetml/2006/main">
  <authors>
    <author>作者</author>
  </authors>
  <commentList>
    <comment ref="AA122" authorId="0">
      <text>
        <r>
          <rPr>
            <sz val="9"/>
            <rFont val="宋体"/>
            <charset val="134"/>
          </rPr>
          <t xml:space="preserve">PS:如射胶1S后关闭。
</t>
        </r>
      </text>
    </comment>
    <comment ref="AA145" authorId="0">
      <text>
        <r>
          <rPr>
            <sz val="9"/>
            <rFont val="宋体"/>
            <charset val="134"/>
          </rPr>
          <t xml:space="preserve">PS:如射胶1S后关闭。
</t>
        </r>
      </text>
    </comment>
    <comment ref="AA160" authorId="0">
      <text>
        <r>
          <rPr>
            <sz val="9"/>
            <rFont val="宋体"/>
            <charset val="134"/>
          </rPr>
          <t xml:space="preserve">PS:如射胶1S后关闭。
</t>
        </r>
      </text>
    </comment>
  </commentList>
</comments>
</file>

<file path=xl/sharedStrings.xml><?xml version="1.0" encoding="utf-8"?>
<sst xmlns="http://schemas.openxmlformats.org/spreadsheetml/2006/main" count="3318" uniqueCount="1773">
  <si>
    <t>中文</t>
  </si>
  <si>
    <t>Sheet</t>
  </si>
  <si>
    <t>英文</t>
  </si>
  <si>
    <t>Catalogue</t>
  </si>
  <si>
    <t>目录</t>
  </si>
  <si>
    <t>模具验证测试总结报告</t>
  </si>
  <si>
    <t>Mold Test Summary Report</t>
  </si>
  <si>
    <t>模具表现评估表</t>
  </si>
  <si>
    <t>模具信息</t>
  </si>
  <si>
    <t>Mold Information</t>
  </si>
  <si>
    <t>注塑机信息</t>
  </si>
  <si>
    <t>Inject Machine Information</t>
  </si>
  <si>
    <t>胶料在料筒中停留时间</t>
  </si>
  <si>
    <t>Residence Time</t>
  </si>
  <si>
    <t>炮筒利用率</t>
  </si>
  <si>
    <t>Barrel Utilization %</t>
  </si>
  <si>
    <t>照片&amp;视频</t>
  </si>
  <si>
    <t>Photo&amp;Video</t>
  </si>
  <si>
    <t>试模参数记录</t>
  </si>
  <si>
    <t>试模参数记录表</t>
  </si>
  <si>
    <t>Trial Report</t>
  </si>
  <si>
    <t>试模参数记录(双色)</t>
  </si>
  <si>
    <t>模具运水状况测试</t>
  </si>
  <si>
    <t>模具运水状况报告</t>
  </si>
  <si>
    <t>Water Flow Rate Report</t>
  </si>
  <si>
    <t>模具冷却均匀性测试
Water Circuit Temperature Report</t>
  </si>
  <si>
    <t>Water Circuit Temperature Report</t>
  </si>
  <si>
    <t>注射注射速度优化报告
Optimized Injection Speed Report速度优化</t>
  </si>
  <si>
    <t>注射速度优化报告
Optimized Injection Speed Report</t>
  </si>
  <si>
    <t>Optimized Injection Speed Report</t>
  </si>
  <si>
    <t>走水平衡分析报告</t>
  </si>
  <si>
    <t>走水平衡分析报告
Short Shot Balance Report</t>
  </si>
  <si>
    <t>Short Shot Balance Report</t>
  </si>
  <si>
    <t>压力损失报告</t>
  </si>
  <si>
    <t>压力损失报告
Pressure Loss Report</t>
  </si>
  <si>
    <t>Pressure Loss Report</t>
  </si>
  <si>
    <t>保压压力测试报告</t>
  </si>
  <si>
    <t>保压压力测试报告
Holding Pressure Test Report</t>
  </si>
  <si>
    <t>Holding Pressure Test Report</t>
  </si>
  <si>
    <t>保压时间优化</t>
  </si>
  <si>
    <t>保压时间优化
Optimized Holding Time Report</t>
  </si>
  <si>
    <t>Optimized Holding Time Report</t>
  </si>
  <si>
    <t>冷却时间优化报告</t>
  </si>
  <si>
    <t>冷却时间优化报告
Optimized Cooling Time Report</t>
  </si>
  <si>
    <t>Optimized Cooling Time Report</t>
  </si>
  <si>
    <t>锁模力优化报告</t>
  </si>
  <si>
    <t>锁模力优化报告
Optimized Clamp Force Report</t>
  </si>
  <si>
    <t>Optimized Clamp Force Report</t>
  </si>
  <si>
    <t>周期时间优化报告</t>
  </si>
  <si>
    <t>周期时间优化报告
Optimized Cycle Time Report</t>
  </si>
  <si>
    <t>Optimized Cycle Time Report</t>
  </si>
  <si>
    <t>模具问题点履历表</t>
  </si>
  <si>
    <t>Mold Open Issue Record</t>
  </si>
  <si>
    <t>可容许度测试报告</t>
  </si>
  <si>
    <t>可容许度测试报告
Acceptability Test Report</t>
  </si>
  <si>
    <t>Acceptability Test Report</t>
  </si>
  <si>
    <t>模具表现评估</t>
  </si>
  <si>
    <t>Mold Performance Check List</t>
  </si>
  <si>
    <t>模号</t>
  </si>
  <si>
    <t>Mold number</t>
  </si>
  <si>
    <t>模号
Mold Number</t>
  </si>
  <si>
    <t>Mold Number</t>
  </si>
  <si>
    <t>检查项目</t>
  </si>
  <si>
    <t>Check Item</t>
  </si>
  <si>
    <t>模具尺寸</t>
  </si>
  <si>
    <t>Mold Size</t>
  </si>
  <si>
    <t>注塑机型号</t>
  </si>
  <si>
    <t>Machine</t>
  </si>
  <si>
    <t>停留时间计算</t>
  </si>
  <si>
    <t>炮筒直径(mm)</t>
  </si>
  <si>
    <t>Barrel Diameter (mm)</t>
  </si>
  <si>
    <t>模具照片</t>
  </si>
  <si>
    <t>Mold Photo</t>
  </si>
  <si>
    <t>基本信息</t>
  </si>
  <si>
    <t>Information</t>
  </si>
  <si>
    <t>射胶 1st</t>
  </si>
  <si>
    <t>Injection 1st</t>
  </si>
  <si>
    <t>组号                         Group No.</t>
  </si>
  <si>
    <t>Group No.</t>
  </si>
  <si>
    <t>型腔</t>
  </si>
  <si>
    <t>Cavity Side</t>
  </si>
  <si>
    <t>机型
Injection Machine</t>
  </si>
  <si>
    <t>Injection Machine</t>
  </si>
  <si>
    <t>填充95%</t>
  </si>
  <si>
    <t>Fill 95%</t>
  </si>
  <si>
    <t>流经位置
Flow analysis</t>
  </si>
  <si>
    <t>Flow analysis</t>
  </si>
  <si>
    <t>优化操作者
Operator</t>
  </si>
  <si>
    <t>Operator</t>
  </si>
  <si>
    <t>优化结果
Optimized result</t>
  </si>
  <si>
    <t>Optimized result</t>
  </si>
  <si>
    <t>优化冷却时间
Optimized Cooling Time</t>
  </si>
  <si>
    <t>Optimized Cooling Time</t>
  </si>
  <si>
    <t>优化的锁模力
Opt. clamp force</t>
  </si>
  <si>
    <t>Opt. clamp force</t>
  </si>
  <si>
    <t>目标周期时间</t>
  </si>
  <si>
    <t xml:space="preserve">Target Cycle </t>
  </si>
  <si>
    <t>问题点</t>
  </si>
  <si>
    <t>Mold problem</t>
  </si>
  <si>
    <t>注塑参数</t>
  </si>
  <si>
    <t>Parameters</t>
  </si>
  <si>
    <t>模 号:</t>
  </si>
  <si>
    <t>Mold No.</t>
  </si>
  <si>
    <t>试模目的</t>
  </si>
  <si>
    <t>Purpose</t>
  </si>
  <si>
    <t>测试时间
Test Date</t>
  </si>
  <si>
    <t>Trial Date</t>
  </si>
  <si>
    <t>检查细则</t>
  </si>
  <si>
    <t>Check Detail</t>
  </si>
  <si>
    <t>模具法兰直径</t>
  </si>
  <si>
    <t>Mold Flange Diameter</t>
  </si>
  <si>
    <t>注塑机类型</t>
  </si>
  <si>
    <t>Machine type</t>
  </si>
  <si>
    <t>这是一种经验法则，在业内被认可。</t>
  </si>
  <si>
    <t>This is a "Rule of thumb" calculation. Commonly accepted in industry, but does not include material in screw flights</t>
  </si>
  <si>
    <t>炮筒最大体积</t>
  </si>
  <si>
    <t>Barrel Max. Shot Volume (gr)</t>
  </si>
  <si>
    <t>样板及走水照片</t>
  </si>
  <si>
    <t>Sample&amp;Fill Study  Photo</t>
  </si>
  <si>
    <t>射胶 2nd</t>
  </si>
  <si>
    <t>Injection 2nd</t>
  </si>
  <si>
    <t>出水方向/ out put</t>
  </si>
  <si>
    <t>out put</t>
  </si>
  <si>
    <t>型芯</t>
  </si>
  <si>
    <t>Core Side</t>
  </si>
  <si>
    <t>注射时间
Injection time</t>
  </si>
  <si>
    <t>Injection time</t>
  </si>
  <si>
    <t>型腔
Cavity</t>
  </si>
  <si>
    <t>Cavity</t>
  </si>
  <si>
    <t>实际注射压力
Actual Injection Pressure</t>
  </si>
  <si>
    <t>Actual Injection Pressure</t>
  </si>
  <si>
    <t>优化日期
Date</t>
  </si>
  <si>
    <t>Date</t>
  </si>
  <si>
    <t>在已优化的保压压力下优化保压时间
Optimized holding time at optimum holding pressure:</t>
  </si>
  <si>
    <t>Optimized holding time at optimum holding pressure:</t>
  </si>
  <si>
    <t>外观描述
Appearance description</t>
  </si>
  <si>
    <t>Appearance description</t>
  </si>
  <si>
    <t>当前最大保压压力
Cur. Max. Hld. Pres.</t>
  </si>
  <si>
    <t>Cur. Max. Hld. Pres.</t>
  </si>
  <si>
    <t>实际周期时间</t>
  </si>
  <si>
    <t>Actual Time</t>
  </si>
  <si>
    <t>遗留问题点</t>
  </si>
  <si>
    <t>Remaining problems</t>
  </si>
  <si>
    <t>外观</t>
  </si>
  <si>
    <t>Observation</t>
  </si>
  <si>
    <t>制作工程师:</t>
  </si>
  <si>
    <t>Tooling Engineer:</t>
  </si>
  <si>
    <t>试模时间</t>
  </si>
  <si>
    <t>模具工程师
Molding Engineer</t>
  </si>
  <si>
    <t>Molding Engineer</t>
  </si>
  <si>
    <t>评估结果</t>
  </si>
  <si>
    <t>Result</t>
  </si>
  <si>
    <t>开模行程</t>
  </si>
  <si>
    <t>Open Stroke</t>
  </si>
  <si>
    <t>主射台</t>
  </si>
  <si>
    <t xml:space="preserve">Main Injection Init </t>
  </si>
  <si>
    <t>Input - Barrel Diameter( 螺杆直径):</t>
  </si>
  <si>
    <t>Input - Barrel Diameter</t>
  </si>
  <si>
    <t>每啤最大体积</t>
  </si>
  <si>
    <t>Tool Full Shot Volume (gr)</t>
  </si>
  <si>
    <t>模具温度、热流道温度照片</t>
  </si>
  <si>
    <t>Temperature Photo</t>
  </si>
  <si>
    <t>客户</t>
  </si>
  <si>
    <t>Customer</t>
  </si>
  <si>
    <t>保压 1st</t>
  </si>
  <si>
    <t>Holding pressure 1st</t>
  </si>
  <si>
    <t>运水直径
（mm）</t>
  </si>
  <si>
    <t>Diameter of Cooling circuit（mm）</t>
  </si>
  <si>
    <t>Operator Side
操作侧</t>
  </si>
  <si>
    <t>Operator Side</t>
  </si>
  <si>
    <t>注射压力
Injection pressure</t>
  </si>
  <si>
    <t>Injection pressure</t>
  </si>
  <si>
    <t>重量(g)
Weight(g)</t>
  </si>
  <si>
    <t>Weight(g)</t>
  </si>
  <si>
    <t>单位
Unit</t>
  </si>
  <si>
    <t>Unit</t>
  </si>
  <si>
    <t>当前设定锁模力
Current setting clamp force</t>
  </si>
  <si>
    <t>Current setting clamp force</t>
  </si>
  <si>
    <t>压时间 (s)
Holding time (s)</t>
  </si>
  <si>
    <t>Holding time (s)</t>
  </si>
  <si>
    <t xml:space="preserve">注塑机最高锁模力
Max. clamp force </t>
  </si>
  <si>
    <t xml:space="preserve">Max. clamp force </t>
  </si>
  <si>
    <t>计算周期时间</t>
  </si>
  <si>
    <t>Calculate Time</t>
  </si>
  <si>
    <t>新增问题点</t>
  </si>
  <si>
    <t>New problems</t>
  </si>
  <si>
    <t>重要尺寸</t>
  </si>
  <si>
    <t>Key Size</t>
  </si>
  <si>
    <t>审   核:</t>
  </si>
  <si>
    <t>Aprroved by:</t>
  </si>
  <si>
    <t>Molding Test Summart Report</t>
  </si>
  <si>
    <t>项目工程师
Project Engineer</t>
  </si>
  <si>
    <t>Project Engineer</t>
  </si>
  <si>
    <t>处理方法
及项目号</t>
  </si>
  <si>
    <r>
      <rPr>
        <sz val="12"/>
        <color theme="1"/>
        <rFont val="宋体"/>
        <charset val="134"/>
      </rPr>
      <t>唧咀球半径</t>
    </r>
    <r>
      <rPr>
        <sz val="12"/>
        <color theme="1"/>
        <rFont val="Arial"/>
        <charset val="134"/>
      </rPr>
      <t>SR</t>
    </r>
  </si>
  <si>
    <t>Sphere Diameter</t>
  </si>
  <si>
    <t>机器法兰孔直径</t>
  </si>
  <si>
    <t>Machine Flange Diameter</t>
  </si>
  <si>
    <t>Input - Maximum Barrel Stroke(螺杆最大行程):</t>
  </si>
  <si>
    <t>Input - Maximum Barrel Stroke</t>
  </si>
  <si>
    <t>最佳工作范围</t>
  </si>
  <si>
    <t>opt. working range</t>
  </si>
  <si>
    <t>周边照片</t>
  </si>
  <si>
    <t>Auxiliary Equipmet</t>
  </si>
  <si>
    <t>机型</t>
  </si>
  <si>
    <t>保压 2nd</t>
  </si>
  <si>
    <t>Holding pressure 2nd</t>
  </si>
  <si>
    <t>水的温度
（℃）</t>
  </si>
  <si>
    <t>Water temperature（℃）</t>
  </si>
  <si>
    <t>实测温度</t>
  </si>
  <si>
    <t>Actual Temperature</t>
  </si>
  <si>
    <t>注射速度
Injection Speed</t>
  </si>
  <si>
    <t>Injection Speed</t>
  </si>
  <si>
    <t>最大重量
Maximum weight</t>
  </si>
  <si>
    <t>Maximum weight</t>
  </si>
  <si>
    <t>各部位压力损失</t>
  </si>
  <si>
    <t>序号
Item</t>
  </si>
  <si>
    <t>Item</t>
  </si>
  <si>
    <t>平均重量 (g)
Average weight (g)</t>
  </si>
  <si>
    <t>Average weight (g)</t>
  </si>
  <si>
    <t>理论计算的锁模力
Theory clamp force</t>
  </si>
  <si>
    <t>Theory clamp force</t>
  </si>
  <si>
    <t>从注塑机上采集真实值</t>
  </si>
  <si>
    <t>备注</t>
  </si>
  <si>
    <t>Remark</t>
  </si>
  <si>
    <t>上差</t>
  </si>
  <si>
    <t>up</t>
  </si>
  <si>
    <t>试模员:</t>
  </si>
  <si>
    <t>Operator:</t>
  </si>
  <si>
    <r>
      <rPr>
        <sz val="11"/>
        <color theme="1"/>
        <rFont val="等线"/>
        <charset val="134"/>
        <scheme val="minor"/>
      </rPr>
      <t xml:space="preserve">A. </t>
    </r>
    <r>
      <rPr>
        <sz val="11"/>
        <color theme="1"/>
        <rFont val="等线"/>
        <charset val="134"/>
        <scheme val="minor"/>
      </rPr>
      <t>模具问题点描述</t>
    </r>
    <r>
      <rPr>
        <sz val="11"/>
        <color theme="1"/>
        <rFont val="等线"/>
        <charset val="134"/>
        <scheme val="minor"/>
      </rPr>
      <t>/Mold issue:</t>
    </r>
  </si>
  <si>
    <r>
      <rPr>
        <sz val="12"/>
        <color theme="1"/>
        <rFont val="Arial"/>
        <charset val="134"/>
      </rPr>
      <t>A. Mold issue</t>
    </r>
    <r>
      <rPr>
        <sz val="12"/>
        <color theme="1"/>
        <rFont val="等线"/>
        <charset val="134"/>
      </rPr>
      <t>：</t>
    </r>
  </si>
  <si>
    <t>签名确认</t>
  </si>
  <si>
    <t>拉杆螺纹</t>
  </si>
  <si>
    <t>Puck Size</t>
  </si>
  <si>
    <t>射咀球径</t>
  </si>
  <si>
    <t>Nozzle Sphere Diameter</t>
  </si>
  <si>
    <t>Input - Hot sprue or Manifold Volume if applicable (cm^3)(热流道熔胶的体积)</t>
  </si>
  <si>
    <t>Input - Hot sprue or Manifold Volume if applicable (cm^3)</t>
  </si>
  <si>
    <t>可接受的范围</t>
  </si>
  <si>
    <t xml:space="preserve">conditional suited </t>
  </si>
  <si>
    <t>视频</t>
  </si>
  <si>
    <t>Video</t>
  </si>
  <si>
    <t>干燥方法</t>
  </si>
  <si>
    <t>Dry method</t>
  </si>
  <si>
    <t>监测项目 1st</t>
  </si>
  <si>
    <t>Tail Item 1st</t>
  </si>
  <si>
    <t>流量
(g/m)</t>
  </si>
  <si>
    <t>Water flow rate
(g/m)</t>
  </si>
  <si>
    <t>剪切速率
Shear rate</t>
  </si>
  <si>
    <t>Shear rate</t>
  </si>
  <si>
    <t>最小重量
Minimum weight</t>
  </si>
  <si>
    <t>Minimum weight</t>
  </si>
  <si>
    <t>填充部位</t>
  </si>
  <si>
    <t>保压压力
Holding pressure</t>
  </si>
  <si>
    <t>Holding pressure</t>
  </si>
  <si>
    <t>冷却时间 (s)
Cooling time (s)</t>
  </si>
  <si>
    <t>Cooling time (s)</t>
  </si>
  <si>
    <t>锁模力
Clamp force</t>
  </si>
  <si>
    <t>Clamp force</t>
  </si>
  <si>
    <t>注射时间</t>
  </si>
  <si>
    <t>Fill Time</t>
  </si>
  <si>
    <t>工程师</t>
  </si>
  <si>
    <t>Mold Engineer</t>
  </si>
  <si>
    <t>下差</t>
  </si>
  <si>
    <t>down</t>
  </si>
  <si>
    <t>试模次数</t>
  </si>
  <si>
    <t>Trial times：</t>
  </si>
  <si>
    <r>
      <rPr>
        <sz val="11"/>
        <color theme="1"/>
        <rFont val="等线"/>
        <charset val="134"/>
        <scheme val="minor"/>
      </rPr>
      <t>模具判定</t>
    </r>
    <r>
      <rPr>
        <sz val="11"/>
        <color theme="1"/>
        <rFont val="等线"/>
        <charset val="134"/>
        <scheme val="minor"/>
      </rPr>
      <t>:
Result of mold:</t>
    </r>
  </si>
  <si>
    <t>Result of mold:</t>
  </si>
  <si>
    <r>
      <rPr>
        <sz val="12"/>
        <color theme="1"/>
        <rFont val="宋体"/>
        <charset val="134"/>
      </rPr>
      <t>第一部分</t>
    </r>
    <r>
      <rPr>
        <sz val="12"/>
        <color theme="1"/>
        <rFont val="Arial"/>
        <charset val="134"/>
      </rPr>
      <t xml:space="preserve">:
</t>
    </r>
    <r>
      <rPr>
        <sz val="12"/>
        <color theme="1"/>
        <rFont val="宋体"/>
        <charset val="134"/>
      </rPr>
      <t>模具动作和功能</t>
    </r>
  </si>
  <si>
    <t>顶棍孔直径</t>
  </si>
  <si>
    <t>Ejector Hole Diameter</t>
  </si>
  <si>
    <t>副射台</t>
  </si>
  <si>
    <t xml:space="preserve">Secondary Injection Init </t>
  </si>
  <si>
    <t>Output - Total shot Volume( 总的熔胶体积)</t>
  </si>
  <si>
    <t>Output - Total shot Volume</t>
  </si>
  <si>
    <t>不推荐的范围</t>
  </si>
  <si>
    <t>not recommended</t>
  </si>
  <si>
    <t>模具参数</t>
  </si>
  <si>
    <t>Mold Parameters</t>
  </si>
  <si>
    <t>干燥温度(℃)</t>
  </si>
  <si>
    <t>Dry temp.(℃)</t>
  </si>
  <si>
    <t>监测项目 2nd</t>
  </si>
  <si>
    <t>Tail Item 2nd</t>
  </si>
  <si>
    <t>水的压力
(kgf/cm²)</t>
  </si>
  <si>
    <t>Water Pressure
(kgf/cm²)</t>
  </si>
  <si>
    <t>有效粘度
Relative Viscosity</t>
  </si>
  <si>
    <t>Relative Viscosity</t>
  </si>
  <si>
    <t>平衡度
Balance</t>
  </si>
  <si>
    <t>Balance</t>
  </si>
  <si>
    <t>喷嘴-流道</t>
  </si>
  <si>
    <t>产品重量 Product weight (g)</t>
  </si>
  <si>
    <t xml:space="preserve"> Product weight (g)</t>
  </si>
  <si>
    <t xml:space="preserve">平均重量 
Average weight </t>
  </si>
  <si>
    <t>Average weight</t>
  </si>
  <si>
    <t>保压时间</t>
  </si>
  <si>
    <t>Hold Pressure</t>
  </si>
  <si>
    <t>试模员</t>
  </si>
  <si>
    <t>Reporter</t>
  </si>
  <si>
    <t>射胶速度</t>
  </si>
  <si>
    <t>Inj.Speed</t>
  </si>
  <si>
    <t>试模日期:</t>
  </si>
  <si>
    <t>Trial Date:</t>
  </si>
  <si>
    <r>
      <rPr>
        <sz val="11"/>
        <color theme="1"/>
        <rFont val="等线"/>
        <charset val="134"/>
        <scheme val="minor"/>
      </rPr>
      <t xml:space="preserve">B. </t>
    </r>
    <r>
      <rPr>
        <sz val="11"/>
        <color theme="1"/>
        <rFont val="等线"/>
        <charset val="134"/>
        <scheme val="minor"/>
      </rPr>
      <t>产品问题点描述</t>
    </r>
    <r>
      <rPr>
        <sz val="11"/>
        <color theme="1"/>
        <rFont val="等线"/>
        <charset val="134"/>
        <scheme val="minor"/>
      </rPr>
      <t>/Part issue</t>
    </r>
    <r>
      <rPr>
        <sz val="11"/>
        <color theme="1"/>
        <rFont val="等线"/>
        <charset val="134"/>
        <scheme val="minor"/>
      </rPr>
      <t>：</t>
    </r>
  </si>
  <si>
    <r>
      <rPr>
        <sz val="12"/>
        <color theme="1"/>
        <rFont val="Arial"/>
        <charset val="134"/>
      </rPr>
      <t>B. Part issue</t>
    </r>
    <r>
      <rPr>
        <sz val="12"/>
        <color theme="1"/>
        <rFont val="等线"/>
        <charset val="134"/>
      </rPr>
      <t>：</t>
    </r>
  </si>
  <si>
    <t>开合模动作顺畅无异响</t>
  </si>
  <si>
    <t>顶棍孔分布</t>
  </si>
  <si>
    <t>Ejector Position</t>
  </si>
  <si>
    <t>合模部件</t>
  </si>
  <si>
    <t>Clamping parts</t>
  </si>
  <si>
    <t>Melt Density of(原料的密度):</t>
  </si>
  <si>
    <t>Melt Density of</t>
  </si>
  <si>
    <t>每啤重量</t>
  </si>
  <si>
    <t>Tool Full Shot Weight</t>
  </si>
  <si>
    <t>干燥时间(h)</t>
  </si>
  <si>
    <t>Dry time(h)</t>
  </si>
  <si>
    <t>阀针</t>
  </si>
  <si>
    <t>Valve</t>
  </si>
  <si>
    <t>水的粘度系数
(10-6m²/s)</t>
  </si>
  <si>
    <t>Kinematic viscosity
(10-6m²/s)</t>
  </si>
  <si>
    <t>相对粘度差异
Change in Relative Viscosity</t>
  </si>
  <si>
    <t>Change in Relative Viscosity</t>
  </si>
  <si>
    <t>判定结果
Result</t>
  </si>
  <si>
    <t>流道-浇口</t>
  </si>
  <si>
    <t>制品外观描述
Explanation</t>
  </si>
  <si>
    <t>Explanation</t>
  </si>
  <si>
    <t>产品重量
Product weight</t>
  </si>
  <si>
    <t>Product weight</t>
  </si>
  <si>
    <t>冷却时间</t>
  </si>
  <si>
    <t>Cooling Time</t>
  </si>
  <si>
    <t>优化参数</t>
  </si>
  <si>
    <t>Opt. Parameters</t>
  </si>
  <si>
    <t>Items</t>
  </si>
  <si>
    <t>胶料停留时间</t>
  </si>
  <si>
    <r>
      <rPr>
        <sz val="11"/>
        <color theme="1"/>
        <rFont val="等线"/>
        <charset val="134"/>
        <scheme val="minor"/>
      </rPr>
      <t>塑胶产品判定</t>
    </r>
    <r>
      <rPr>
        <sz val="11"/>
        <color theme="1"/>
        <rFont val="等线"/>
        <charset val="134"/>
        <scheme val="minor"/>
      </rPr>
      <t>:
Result of part:</t>
    </r>
  </si>
  <si>
    <t>Result of part:</t>
  </si>
  <si>
    <r>
      <rPr>
        <sz val="12"/>
        <color theme="1"/>
        <rFont val="宋体"/>
        <charset val="134"/>
      </rPr>
      <t>顶出</t>
    </r>
    <r>
      <rPr>
        <sz val="12"/>
        <color theme="1"/>
        <rFont val="Arial"/>
        <charset val="134"/>
      </rPr>
      <t>/</t>
    </r>
    <r>
      <rPr>
        <sz val="12"/>
        <color theme="1"/>
        <rFont val="宋体"/>
        <charset val="134"/>
      </rPr>
      <t>复位顺畅无异响</t>
    </r>
  </si>
  <si>
    <t>热流道</t>
  </si>
  <si>
    <t>Hot Runner</t>
  </si>
  <si>
    <t>最大合模力</t>
  </si>
  <si>
    <t>Nax Clamping Force</t>
  </si>
  <si>
    <t>Input - Material density from list above( 原料的密度):</t>
  </si>
  <si>
    <t>Input - Material density from list above</t>
  </si>
  <si>
    <t>密度</t>
  </si>
  <si>
    <t>Density</t>
  </si>
  <si>
    <t>胶料</t>
  </si>
  <si>
    <t>雷诺系数</t>
  </si>
  <si>
    <t>Reynolds Nunber</t>
  </si>
  <si>
    <t>折线</t>
  </si>
  <si>
    <t>Polyline</t>
  </si>
  <si>
    <t>浇口-10%～30%产品</t>
  </si>
  <si>
    <t xml:space="preserve">制品重量（g）
Product weight </t>
  </si>
  <si>
    <t xml:space="preserve">Product weight </t>
  </si>
  <si>
    <t>质量描述
Quality description</t>
  </si>
  <si>
    <t>Quality description</t>
  </si>
  <si>
    <t>开模时间</t>
  </si>
  <si>
    <t>Open Time</t>
  </si>
  <si>
    <t>保压压力</t>
  </si>
  <si>
    <t>Holding Pressure</t>
  </si>
  <si>
    <t>Description</t>
  </si>
  <si>
    <t>料筒利用率</t>
  </si>
  <si>
    <t>C.  改善措施/Corrective or Improvement action</t>
  </si>
  <si>
    <t>Corrective or Improvement action</t>
  </si>
  <si>
    <t>行位动作顺畅无异响</t>
  </si>
  <si>
    <t>冷流道</t>
  </si>
  <si>
    <t>Cold Runner</t>
  </si>
  <si>
    <t>最大开模行程</t>
  </si>
  <si>
    <t>Max Open Stroke</t>
  </si>
  <si>
    <t>Output - Grams of material in the barrel(料管內原料的重量):</t>
  </si>
  <si>
    <t>Output - Grams of material in the barrel</t>
  </si>
  <si>
    <t>颜色</t>
  </si>
  <si>
    <t>Color</t>
  </si>
  <si>
    <t>结果</t>
  </si>
  <si>
    <t>斜率</t>
  </si>
  <si>
    <t>Slope</t>
  </si>
  <si>
    <t>浇口-30%～60%产品</t>
  </si>
  <si>
    <t>流动分析图片  Flow analysis photos:</t>
  </si>
  <si>
    <t>Flow analysis photos:</t>
  </si>
  <si>
    <t>取产品时间</t>
  </si>
  <si>
    <t>Pick Time</t>
  </si>
  <si>
    <r>
      <rPr>
        <sz val="11"/>
        <color theme="1"/>
        <rFont val="等线"/>
        <charset val="134"/>
        <scheme val="minor"/>
      </rPr>
      <t>照片</t>
    </r>
    <r>
      <rPr>
        <sz val="11"/>
        <color theme="1"/>
        <rFont val="等线"/>
        <charset val="134"/>
        <scheme val="minor"/>
      </rPr>
      <t>&amp;</t>
    </r>
    <r>
      <rPr>
        <sz val="11"/>
        <color theme="1"/>
        <rFont val="等线"/>
        <charset val="134"/>
        <scheme val="minor"/>
      </rPr>
      <t>视频</t>
    </r>
  </si>
  <si>
    <t>试模参数判定:
Result of part:</t>
  </si>
  <si>
    <t>油唧动作顺畅无异响</t>
  </si>
  <si>
    <t>封针</t>
  </si>
  <si>
    <t>Needle Sealing</t>
  </si>
  <si>
    <t>模板尺寸(L)</t>
  </si>
  <si>
    <t>Template Size(L)</t>
  </si>
  <si>
    <t>Input - Cycle Time (周期sec)</t>
  </si>
  <si>
    <t>Input - Cycle Time</t>
  </si>
  <si>
    <t>Trial times</t>
  </si>
  <si>
    <t>浇口-60%～90%产品</t>
  </si>
  <si>
    <t>机械手取件时间</t>
  </si>
  <si>
    <t>Mechanical Hand</t>
  </si>
  <si>
    <t>模具温度</t>
  </si>
  <si>
    <t>Mold temperature</t>
  </si>
  <si>
    <t>Mold Trial Report</t>
  </si>
  <si>
    <t xml:space="preserve"> D.模具验证测试结果最终确认/Final Result：</t>
  </si>
  <si>
    <r>
      <rPr>
        <sz val="12"/>
        <color theme="1"/>
        <rFont val="Arial"/>
        <charset val="134"/>
      </rPr>
      <t>Final Result</t>
    </r>
    <r>
      <rPr>
        <sz val="12"/>
        <color theme="1"/>
        <rFont val="等线"/>
        <charset val="134"/>
      </rPr>
      <t>：</t>
    </r>
  </si>
  <si>
    <r>
      <rPr>
        <sz val="12"/>
        <color theme="1"/>
        <rFont val="宋体"/>
        <charset val="134"/>
      </rPr>
      <t>热咀封针</t>
    </r>
    <r>
      <rPr>
        <sz val="12"/>
        <color theme="1"/>
        <rFont val="Arial"/>
        <charset val="134"/>
      </rPr>
      <t>/</t>
    </r>
    <r>
      <rPr>
        <sz val="12"/>
        <color theme="1"/>
        <rFont val="宋体"/>
        <charset val="134"/>
      </rPr>
      <t>热流道无不良</t>
    </r>
  </si>
  <si>
    <t>油路组数</t>
  </si>
  <si>
    <t>Oil Num</t>
  </si>
  <si>
    <t>模板尺寸(H)</t>
  </si>
  <si>
    <t>Template Size(H)</t>
  </si>
  <si>
    <t>Input - Part shot weight in grams( 产品的重量):</t>
  </si>
  <si>
    <t>Input - Part shot weight in grams</t>
  </si>
  <si>
    <t>型腔数</t>
  </si>
  <si>
    <t>Cavity number</t>
  </si>
  <si>
    <t>压力损失（kg/cm^2)</t>
  </si>
  <si>
    <t>合模时间</t>
  </si>
  <si>
    <t>Close Time</t>
  </si>
  <si>
    <t>前模</t>
  </si>
  <si>
    <t>Cav</t>
  </si>
  <si>
    <t>Signature</t>
  </si>
  <si>
    <t>试模参数记录表(双色)</t>
  </si>
  <si>
    <r>
      <rPr>
        <sz val="11"/>
        <color theme="1"/>
        <rFont val="等线"/>
        <charset val="134"/>
        <scheme val="minor"/>
      </rPr>
      <t>Mold Trial Report</t>
    </r>
    <r>
      <rPr>
        <sz val="11"/>
        <color theme="1"/>
        <rFont val="等线"/>
        <charset val="134"/>
        <scheme val="minor"/>
      </rPr>
      <t>（</t>
    </r>
    <r>
      <rPr>
        <sz val="11"/>
        <color theme="1"/>
        <rFont val="等线"/>
        <charset val="134"/>
        <scheme val="minor"/>
      </rPr>
      <t>double</t>
    </r>
    <r>
      <rPr>
        <sz val="11"/>
        <color theme="1"/>
        <rFont val="等线"/>
        <charset val="134"/>
        <scheme val="minor"/>
      </rPr>
      <t>）</t>
    </r>
  </si>
  <si>
    <t>注/Note:</t>
  </si>
  <si>
    <t>Note:</t>
  </si>
  <si>
    <t>平面顶针能转动</t>
  </si>
  <si>
    <t>模具动作及特别注意事项</t>
  </si>
  <si>
    <t>Notation</t>
  </si>
  <si>
    <t>模具最小尺寸</t>
  </si>
  <si>
    <t>Min Mold Size</t>
  </si>
  <si>
    <t>Input - Cold runner weight in grams(冷流道的重量):</t>
  </si>
  <si>
    <t>Input - Cold runner weight in grams</t>
  </si>
  <si>
    <t>射嘴孔直径</t>
  </si>
  <si>
    <t>Injection sprue Dia.</t>
  </si>
  <si>
    <t>压力损失曲线Pressure loss curve</t>
  </si>
  <si>
    <t>Pressure loss curve</t>
  </si>
  <si>
    <t>所有周期时间</t>
  </si>
  <si>
    <t>Cycle Time</t>
  </si>
  <si>
    <t>后模</t>
  </si>
  <si>
    <t>Cor</t>
  </si>
  <si>
    <t>处理方法</t>
  </si>
  <si>
    <t>Method</t>
  </si>
  <si>
    <t>1. 模具验证测试结果判定合格标准为流道浇口在修模中不需要加大，模具验证测试完成；反之就可判定不合格。</t>
  </si>
  <si>
    <t>1. As long as the runner and gate dimensions are suitable and the test is completed, the test result is judged as qualified.</t>
  </si>
  <si>
    <r>
      <rPr>
        <sz val="12"/>
        <color theme="1"/>
        <rFont val="宋体"/>
        <charset val="134"/>
      </rPr>
      <t>产品</t>
    </r>
    <r>
      <rPr>
        <sz val="12"/>
        <color theme="1"/>
        <rFont val="Arial"/>
        <charset val="134"/>
      </rPr>
      <t>/</t>
    </r>
    <r>
      <rPr>
        <sz val="12"/>
        <color theme="1"/>
        <rFont val="宋体"/>
        <charset val="134"/>
      </rPr>
      <t>水口取件符合要求</t>
    </r>
  </si>
  <si>
    <r>
      <rPr>
        <sz val="12"/>
        <color theme="1"/>
        <rFont val="Arial"/>
        <charset val="134"/>
      </rPr>
      <t xml:space="preserve">1. </t>
    </r>
    <r>
      <rPr>
        <sz val="12"/>
        <color theme="1"/>
        <rFont val="宋体"/>
        <charset val="134"/>
      </rPr>
      <t>此模分</t>
    </r>
    <r>
      <rPr>
        <sz val="12"/>
        <color theme="1"/>
        <rFont val="Arial"/>
        <charset val="134"/>
      </rPr>
      <t xml:space="preserve">    </t>
    </r>
    <r>
      <rPr>
        <sz val="12"/>
        <color theme="1"/>
        <rFont val="宋体"/>
        <charset val="134"/>
      </rPr>
      <t>次开模，开模顺序见结构简图。</t>
    </r>
  </si>
  <si>
    <t>Notation One</t>
  </si>
  <si>
    <t>模具最大尺寸</t>
  </si>
  <si>
    <t>Max Mold Size</t>
  </si>
  <si>
    <t>Input - # of cavities(穴数):</t>
  </si>
  <si>
    <t>Input - # of cavities</t>
  </si>
  <si>
    <t>螺杆直径</t>
  </si>
  <si>
    <t>Screw diameter</t>
  </si>
  <si>
    <t>流动分析图片 Flow analysis photos</t>
  </si>
  <si>
    <t>Flow analysis photos</t>
  </si>
  <si>
    <t>已优化的</t>
  </si>
  <si>
    <t>Optimized</t>
  </si>
  <si>
    <t>判定结果</t>
  </si>
  <si>
    <t>第二部分:模具动作和功能</t>
  </si>
  <si>
    <t>Part II:Mold Function</t>
  </si>
  <si>
    <t>模具冷却均匀性测试</t>
  </si>
  <si>
    <t>2.品质工程师发出此报告后，项目工程师若对表格内容有疑义的，项目工程师需及时给予书面回复。</t>
  </si>
  <si>
    <t>2. Any doubts about the content of the form, the PE shall reply in writing ASAP.</t>
  </si>
  <si>
    <r>
      <rPr>
        <sz val="12"/>
        <color theme="1"/>
        <rFont val="宋体"/>
        <charset val="134"/>
      </rPr>
      <t>第二部分</t>
    </r>
    <r>
      <rPr>
        <sz val="12"/>
        <color theme="1"/>
        <rFont val="Arial"/>
        <charset val="134"/>
      </rPr>
      <t xml:space="preserve">:
</t>
    </r>
    <r>
      <rPr>
        <sz val="12"/>
        <color theme="1"/>
        <rFont val="宋体"/>
        <charset val="134"/>
      </rPr>
      <t>制作工艺</t>
    </r>
  </si>
  <si>
    <r>
      <rPr>
        <sz val="12"/>
        <color theme="1"/>
        <rFont val="Arial"/>
        <charset val="134"/>
      </rPr>
      <t xml:space="preserve">2. </t>
    </r>
    <r>
      <rPr>
        <sz val="12"/>
        <color theme="1"/>
        <rFont val="宋体"/>
        <charset val="134"/>
      </rPr>
      <t>油唧抽芯动作的先后顺序见示意图。</t>
    </r>
  </si>
  <si>
    <t>Notation Two</t>
  </si>
  <si>
    <t>模具最大厚度</t>
  </si>
  <si>
    <t>Max Mold Thickness</t>
  </si>
  <si>
    <t>Output - Shot weight in grams(每模的总重量):</t>
  </si>
  <si>
    <t>Output - Shot weight in grams</t>
  </si>
  <si>
    <t>最大射速</t>
  </si>
  <si>
    <t>Max. Injection Speed</t>
  </si>
  <si>
    <t>回料时间</t>
  </si>
  <si>
    <t>Measure Time</t>
  </si>
  <si>
    <t>模具不能进行射速优化、保压压力测试、保压时间测试，必须做参数可允许度测试，如能执行上述测试，可不做可允许度测试。</t>
  </si>
  <si>
    <t>Mold open/close smoothly without abnormal noise</t>
  </si>
  <si>
    <t>行位动作</t>
  </si>
  <si>
    <t>注射速度优化</t>
  </si>
  <si>
    <t>Optimized Injection Speed</t>
  </si>
  <si>
    <t>3.模具工程师必须在收到此报告的3个工作日之内给出对所反映问题点的改善措施，并书面回复给品质工程师。</t>
  </si>
  <si>
    <t>3. The tooling engineer must submit the improvement actions within 3 working days after receiving this report.</t>
  </si>
  <si>
    <t>运水通畅不漏水</t>
  </si>
  <si>
    <r>
      <rPr>
        <sz val="12"/>
        <color theme="1"/>
        <rFont val="Arial"/>
        <charset val="134"/>
      </rPr>
      <t xml:space="preserve">3. </t>
    </r>
    <r>
      <rPr>
        <sz val="12"/>
        <color theme="1"/>
        <rFont val="宋体"/>
        <charset val="134"/>
      </rPr>
      <t>行位底部有顶针，合模前顶针板必须完全复位</t>
    </r>
  </si>
  <si>
    <t>Notation Three</t>
  </si>
  <si>
    <t>模具最小厚度</t>
  </si>
  <si>
    <t>Min Mold Thickness</t>
  </si>
  <si>
    <t>Output - Residence Time (in minutes)停留時间:</t>
  </si>
  <si>
    <t>Output - Residence Time (in minutes)</t>
  </si>
  <si>
    <t>最大射压</t>
  </si>
  <si>
    <t>Max. Injection pressure</t>
  </si>
  <si>
    <t>顶出/复位顺畅无异响</t>
  </si>
  <si>
    <t>Ejection/Retraction smoothly without abnormal noise</t>
  </si>
  <si>
    <t>油唧动作</t>
  </si>
  <si>
    <t>走水平衡分析</t>
  </si>
  <si>
    <t>Short Shot Balance</t>
  </si>
  <si>
    <t>4. 模具工程师改善好模具问题点之后，必须提前通知品质工程师进行现场验证，根据模具工程师提出的改善措施进行跟踪确认。</t>
  </si>
  <si>
    <t>4. All mold open issues must be tested and closed on site.</t>
  </si>
  <si>
    <t>浇口省滑不拖胶粉</t>
  </si>
  <si>
    <r>
      <rPr>
        <sz val="12"/>
        <color theme="1"/>
        <rFont val="Arial"/>
        <charset val="134"/>
      </rPr>
      <t xml:space="preserve">4. </t>
    </r>
    <r>
      <rPr>
        <sz val="12"/>
        <color theme="1"/>
        <rFont val="宋体"/>
        <charset val="134"/>
      </rPr>
      <t>此模有嵌件，需注意嵌件的摆放位置是否正确。</t>
    </r>
  </si>
  <si>
    <t>Notation Four</t>
  </si>
  <si>
    <t>模板最大开距</t>
  </si>
  <si>
    <t>Min Template Interval</t>
  </si>
  <si>
    <t>增压比</t>
  </si>
  <si>
    <t>Intensification Ratio</t>
  </si>
  <si>
    <t xml:space="preserve">Slider moving smoothly without abnormal noise </t>
  </si>
  <si>
    <t>热咀封针</t>
  </si>
  <si>
    <t>制作/Prepared by:</t>
  </si>
  <si>
    <t>Prepared by:</t>
  </si>
  <si>
    <t>可换镶件更换方便</t>
  </si>
  <si>
    <r>
      <rPr>
        <sz val="12"/>
        <color theme="1"/>
        <rFont val="Arial"/>
        <charset val="134"/>
      </rPr>
      <t xml:space="preserve">5. </t>
    </r>
    <r>
      <rPr>
        <sz val="12"/>
        <color theme="1"/>
        <rFont val="宋体"/>
        <charset val="134"/>
      </rPr>
      <t>此模采用了二次顶出机构。</t>
    </r>
  </si>
  <si>
    <t>Notation Five</t>
  </si>
  <si>
    <t>模板最小开距</t>
  </si>
  <si>
    <t>Max Template Interval</t>
  </si>
  <si>
    <t>每啤总量</t>
  </si>
  <si>
    <t>Weight per shot</t>
  </si>
  <si>
    <t>Hydraulic moving smoothly without abnormal noise</t>
  </si>
  <si>
    <t>日期/Date:</t>
  </si>
  <si>
    <t>Date:</t>
  </si>
  <si>
    <r>
      <rPr>
        <sz val="12"/>
        <color theme="1"/>
        <rFont val="宋体"/>
        <charset val="134"/>
      </rPr>
      <t>氮化</t>
    </r>
    <r>
      <rPr>
        <sz val="12"/>
        <color theme="1"/>
        <rFont val="Arial"/>
        <charset val="134"/>
      </rPr>
      <t>/</t>
    </r>
    <r>
      <rPr>
        <sz val="12"/>
        <color theme="1"/>
        <rFont val="宋体"/>
        <charset val="134"/>
      </rPr>
      <t>涂层工件已处理</t>
    </r>
    <r>
      <rPr>
        <sz val="12"/>
        <color theme="1"/>
        <rFont val="Arial"/>
        <charset val="134"/>
      </rPr>
      <t>OK</t>
    </r>
  </si>
  <si>
    <r>
      <rPr>
        <sz val="12"/>
        <color theme="1"/>
        <rFont val="Arial"/>
        <charset val="134"/>
      </rPr>
      <t xml:space="preserve">6. </t>
    </r>
    <r>
      <rPr>
        <sz val="12"/>
        <color theme="1"/>
        <rFont val="宋体"/>
        <charset val="134"/>
      </rPr>
      <t>此模有加速顶出机构</t>
    </r>
  </si>
  <si>
    <t>Notation Six</t>
  </si>
  <si>
    <t>顶出行程</t>
  </si>
  <si>
    <t>Ejection Stroke</t>
  </si>
  <si>
    <t>产品重量</t>
  </si>
  <si>
    <t>热咀封针/热流道无不良</t>
  </si>
  <si>
    <t>Valve stem/HRS without defects</t>
  </si>
  <si>
    <t>产品取件</t>
  </si>
  <si>
    <t>审核/Aprroved by:</t>
  </si>
  <si>
    <t>斜顶不铲胶</t>
  </si>
  <si>
    <r>
      <rPr>
        <sz val="12"/>
        <color theme="1"/>
        <rFont val="Arial"/>
        <charset val="134"/>
      </rPr>
      <t xml:space="preserve">7. </t>
    </r>
    <r>
      <rPr>
        <sz val="12"/>
        <color theme="1"/>
        <rFont val="宋体"/>
        <charset val="134"/>
      </rPr>
      <t>有换款。</t>
    </r>
  </si>
  <si>
    <t>Notation Seven</t>
  </si>
  <si>
    <t xml:space="preserve">拉杆间距 </t>
  </si>
  <si>
    <t>Pull Rod Interval</t>
  </si>
  <si>
    <t>切换位置重量</t>
  </si>
  <si>
    <t>Weight of transfer</t>
  </si>
  <si>
    <t>Flat EJ can rotate</t>
  </si>
  <si>
    <t>冷却时间优化</t>
  </si>
  <si>
    <t>行位有限位装置</t>
  </si>
  <si>
    <t>换款动作：</t>
  </si>
  <si>
    <t>Change Action</t>
  </si>
  <si>
    <t>拉杆接头</t>
  </si>
  <si>
    <t>Pull Rod Size</t>
  </si>
  <si>
    <t>试模类型</t>
  </si>
  <si>
    <t>Trial type</t>
  </si>
  <si>
    <t>产品/水口取件符合要求</t>
  </si>
  <si>
    <t>Product/Runner's pick-up meets the requirements</t>
  </si>
  <si>
    <t>水口出模顺畅不粘模</t>
  </si>
  <si>
    <r>
      <rPr>
        <sz val="12"/>
        <color theme="1"/>
        <rFont val="等线"/>
        <charset val="134"/>
      </rPr>
      <t>模具排位图</t>
    </r>
  </si>
  <si>
    <t>Mold Ranking Chart</t>
  </si>
  <si>
    <t>科学试模</t>
  </si>
  <si>
    <t>Scientific Molding</t>
  </si>
  <si>
    <t>第三部分:制作工艺</t>
  </si>
  <si>
    <t>Part III:Mold Craftsmanship</t>
  </si>
  <si>
    <t>产品出模顺畅不粘模</t>
  </si>
  <si>
    <r>
      <rPr>
        <sz val="12"/>
        <color theme="1"/>
        <rFont val="等线"/>
        <charset val="134"/>
      </rPr>
      <t>模具重量</t>
    </r>
  </si>
  <si>
    <t>Mold Weight</t>
  </si>
  <si>
    <t>正常啤塑胶（满足生产时）</t>
  </si>
  <si>
    <t>Fit to produce</t>
  </si>
  <si>
    <t>No water leakage and no blockage</t>
  </si>
  <si>
    <t>顶针印无披锋/不凸起</t>
  </si>
  <si>
    <t>非正常啤塑（啤样板时）</t>
  </si>
  <si>
    <t>Only fit to mold trial</t>
  </si>
  <si>
    <t>Good polishing on the gate and no scrap chips</t>
  </si>
  <si>
    <t>第三部分:
设备接驳和操作性能</t>
  </si>
  <si>
    <t>温度控制</t>
  </si>
  <si>
    <t>Control Temperature</t>
  </si>
  <si>
    <t>Exchangeable inserts are easy to replace</t>
  </si>
  <si>
    <t>喉咀接驳方便无阻碍</t>
  </si>
  <si>
    <t>料筒温度控制</t>
  </si>
  <si>
    <t>Temp. of hopper(℃)</t>
  </si>
  <si>
    <t>氮化/涂层工件已处理OK</t>
  </si>
  <si>
    <t>Nitriding/Coating has been done</t>
  </si>
  <si>
    <t>电源接驳安全无阻碍</t>
  </si>
  <si>
    <t>单位</t>
  </si>
  <si>
    <t>top surface of lifter has no scratches with sample</t>
  </si>
  <si>
    <t>水油气接驳方便无阻碍</t>
  </si>
  <si>
    <t>料筒温度段数</t>
  </si>
  <si>
    <t>Hopper number</t>
  </si>
  <si>
    <t>Slider retainer/stopper block existed</t>
  </si>
  <si>
    <t>咭掣接驳方便无阻碍</t>
  </si>
  <si>
    <t>加热区域</t>
  </si>
  <si>
    <t>Heating zone</t>
  </si>
  <si>
    <t>Demolding the runner easily and no sticking</t>
  </si>
  <si>
    <t>模具与啤机无溢胶</t>
  </si>
  <si>
    <t>温度值</t>
  </si>
  <si>
    <t>Temperature</t>
  </si>
  <si>
    <t>Demolding the part easily and no sticking</t>
  </si>
  <si>
    <t>模具吊装上落模安全方便</t>
  </si>
  <si>
    <t>热流道温度控制</t>
  </si>
  <si>
    <t>Temp. of hot runner(℃)</t>
  </si>
  <si>
    <t>产品字唛做妥符合要求</t>
  </si>
  <si>
    <t>Engrave is correct</t>
  </si>
  <si>
    <t>各保护咭掣能正常使用</t>
  </si>
  <si>
    <t>热流道数量</t>
  </si>
  <si>
    <t>Hot runner number</t>
  </si>
  <si>
    <t>enjector mark is flat and no flash</t>
  </si>
  <si>
    <t>第四部分:
注塑工艺</t>
  </si>
  <si>
    <t>热流道编号</t>
  </si>
  <si>
    <t>Hot runner NO.</t>
  </si>
  <si>
    <t>第四部分:设备接驳和操作性能</t>
  </si>
  <si>
    <t>Part Ⅳ: Mold Connection</t>
  </si>
  <si>
    <t>锁模力符合要求</t>
  </si>
  <si>
    <t>模温控制</t>
  </si>
  <si>
    <t>Control mold temperature</t>
  </si>
  <si>
    <t>Safe and good connection on cooling</t>
  </si>
  <si>
    <t>注塑周期符合要求</t>
  </si>
  <si>
    <t>加热方式：</t>
  </si>
  <si>
    <t>Heating way</t>
  </si>
  <si>
    <t xml:space="preserve">Safe and good connection on power </t>
  </si>
  <si>
    <t>注塑工艺窗宽，工艺条件仍可上下浮动范围±10%</t>
  </si>
  <si>
    <t>水温</t>
  </si>
  <si>
    <t>Water</t>
  </si>
  <si>
    <t>Convenient water/oil/gas connection</t>
  </si>
  <si>
    <t>2腔及以上走胶平衡测试</t>
  </si>
  <si>
    <t>油温</t>
  </si>
  <si>
    <t>Oil</t>
  </si>
  <si>
    <t xml:space="preserve">Safe and good connection on limit switches </t>
  </si>
  <si>
    <t>模温和料温是否参照《胶料物性表》设定</t>
  </si>
  <si>
    <t>电加热</t>
  </si>
  <si>
    <t>Electric</t>
  </si>
  <si>
    <t>Good fit between mold and machine nozzle</t>
  </si>
  <si>
    <t>第五部分:
客户标准</t>
  </si>
  <si>
    <t>1.实测</t>
  </si>
  <si>
    <t>1.Fact</t>
  </si>
  <si>
    <t>Safe and convenient mold lifting &amp; hanging</t>
  </si>
  <si>
    <t>注塑机台是否符合要求</t>
  </si>
  <si>
    <t>2.实测</t>
  </si>
  <si>
    <t>2.Fact</t>
  </si>
  <si>
    <t>All protection switches can be worked well</t>
  </si>
  <si>
    <t xml:space="preserve">模具的顶出系统复位是否符合客户要求   </t>
  </si>
  <si>
    <t>3.实测</t>
  </si>
  <si>
    <t>3.Fact</t>
  </si>
  <si>
    <t>第五部分:注塑工艺</t>
  </si>
  <si>
    <t>Part V:
Injection Process</t>
  </si>
  <si>
    <t>第六部分:
产品质量</t>
  </si>
  <si>
    <t>前模运水</t>
  </si>
  <si>
    <t>Cavity cooling</t>
  </si>
  <si>
    <t>Clamping force meets requirements</t>
  </si>
  <si>
    <t>产品外观无缺陷</t>
  </si>
  <si>
    <t>组1:</t>
  </si>
  <si>
    <t>Zone1:</t>
  </si>
  <si>
    <t>Cycle time meets requirements</t>
  </si>
  <si>
    <r>
      <rPr>
        <sz val="10"/>
        <rFont val="宋体"/>
        <charset val="134"/>
      </rPr>
      <t>产品结构与3</t>
    </r>
    <r>
      <rPr>
        <sz val="10"/>
        <rFont val="宋体"/>
        <charset val="134"/>
      </rPr>
      <t>D相符</t>
    </r>
  </si>
  <si>
    <t>组2:</t>
  </si>
  <si>
    <t>Zone2:</t>
  </si>
  <si>
    <t>Wide process window(±10%)</t>
  </si>
  <si>
    <t>第七部分:
模具表面
外观确认</t>
  </si>
  <si>
    <t>组3:</t>
  </si>
  <si>
    <t>Zone3:</t>
  </si>
  <si>
    <t>Good filling balance (&gt;=90%)</t>
  </si>
  <si>
    <t>蚀纹模具
外观确认</t>
  </si>
  <si>
    <t>组4:</t>
  </si>
  <si>
    <t>Zone4:</t>
  </si>
  <si>
    <t>Mold temp./resin melt temp.comply with the resin data sheet</t>
  </si>
  <si>
    <t>试模前</t>
  </si>
  <si>
    <t>组5:</t>
  </si>
  <si>
    <t>Zone5:</t>
  </si>
  <si>
    <t>第六部分:客户标准</t>
  </si>
  <si>
    <t>Part Ⅵ:Mold Standard</t>
  </si>
  <si>
    <t>试模后</t>
  </si>
  <si>
    <t>组6:</t>
  </si>
  <si>
    <t>Zone6:</t>
  </si>
  <si>
    <t>Injection machine meets the requirements</t>
  </si>
  <si>
    <t>抛光模具
外观确认</t>
  </si>
  <si>
    <t>组7:</t>
  </si>
  <si>
    <t>Zone7:</t>
  </si>
  <si>
    <t xml:space="preserve">Eject retraction meets requirements </t>
  </si>
  <si>
    <t>说明:</t>
  </si>
  <si>
    <t>组8:</t>
  </si>
  <si>
    <t>Zone8:</t>
  </si>
  <si>
    <t>第七部分:产品质量</t>
  </si>
  <si>
    <t>Part Ⅶ:
Samples</t>
  </si>
  <si>
    <t>1、表中的第一部分到第五部分的内容需要由试模员检查完成并记录签名确认；
2、表中的第六部分到第七部分的内容需要由制作工程师检查完成并记录签名确认；
3、所有检查NG的项目，由制作工程师在“备注”栏做NG内容描述以及决定NG内容的处理方法，并将其处理方式的代码填于“处理方法及项目号”栏中；NG项处理方法：A、修模/改模  B、走模前完成  C、让步接收；
4、若用修模/改模处理方法，需将&lt;修模/改模工作单&gt;中对应的项目号填写于“处理方法及项目号”栏；
5、模具动作检查时需按快、中、慢三种速度进行设定,一旦发生模具结构/动作问题,制作工程师应按要求组织相关人员检讨/改善；
6、所有项目检查完成后由制作工程师交制作经理审核后存档。</t>
  </si>
  <si>
    <t>组9:</t>
  </si>
  <si>
    <t>Zone9:</t>
  </si>
  <si>
    <t>No defects in product appearance</t>
  </si>
  <si>
    <t>组10:</t>
  </si>
  <si>
    <t>Zone10:</t>
  </si>
  <si>
    <r>
      <rPr>
        <sz val="11"/>
        <color theme="1"/>
        <rFont val="等线"/>
        <charset val="134"/>
        <scheme val="minor"/>
      </rPr>
      <t>产品结构与3</t>
    </r>
    <r>
      <rPr>
        <sz val="10"/>
        <rFont val="宋体"/>
        <charset val="134"/>
      </rPr>
      <t>D相符</t>
    </r>
  </si>
  <si>
    <t>Sample conforms to 3D model</t>
  </si>
  <si>
    <t>组11:</t>
  </si>
  <si>
    <t>Zone11:</t>
  </si>
  <si>
    <t>第八部分:模具表面外观确认</t>
  </si>
  <si>
    <t>Part Ⅷ:Molding Surface</t>
  </si>
  <si>
    <t>组12:</t>
  </si>
  <si>
    <t>Zone12:</t>
  </si>
  <si>
    <t>蚀纹模具外观确认</t>
  </si>
  <si>
    <t>Texture surface</t>
  </si>
  <si>
    <t>组13:</t>
  </si>
  <si>
    <t>Zone13:</t>
  </si>
  <si>
    <t>抛光模具外观确认</t>
  </si>
  <si>
    <t>High polishing surface</t>
  </si>
  <si>
    <t>组14:</t>
  </si>
  <si>
    <t>Zone14:</t>
  </si>
  <si>
    <t>Before trial</t>
  </si>
  <si>
    <t>组15:</t>
  </si>
  <si>
    <t>Zone15:</t>
  </si>
  <si>
    <t>After trial</t>
  </si>
  <si>
    <t>组16:</t>
  </si>
  <si>
    <t>Zone16:</t>
  </si>
  <si>
    <t>Remarks:</t>
  </si>
  <si>
    <t>组17:</t>
  </si>
  <si>
    <t>Zone17:</t>
  </si>
  <si>
    <t>1. 3 options for the methods of NG items: A. Mold repair/modification B. Complete before mold delivery C.Concessions accepted;
2. 3 speed conditions should be set for mold action verification: Fast, Medium and Slow.</t>
  </si>
  <si>
    <t>组18:</t>
  </si>
  <si>
    <t>Zone18:</t>
  </si>
  <si>
    <t>第一部分：模具结构信息</t>
  </si>
  <si>
    <t>Part Ⅰ: Mold structure information</t>
  </si>
  <si>
    <t>组19:</t>
  </si>
  <si>
    <t>Zone19:</t>
  </si>
  <si>
    <t>确认模具尺寸、开模行程、熔胶量、定位环规格等与注塑机匹配</t>
  </si>
  <si>
    <t>Confirm that the mold size, opening stroke,melt volume,ring match with the injection molding machine</t>
  </si>
  <si>
    <t>组20:</t>
  </si>
  <si>
    <t>Zone20:</t>
  </si>
  <si>
    <t>确认模具特殊注意事项</t>
  </si>
  <si>
    <t>Confirm special attention of mold</t>
  </si>
  <si>
    <t>组21:</t>
  </si>
  <si>
    <t>Zone21:</t>
  </si>
  <si>
    <t>确认水路连接方式、水管规格是否合理</t>
  </si>
  <si>
    <t>Confirm water connection and water pipe specification are reasonable</t>
  </si>
  <si>
    <t>组22:</t>
  </si>
  <si>
    <t>Zone22:</t>
  </si>
  <si>
    <t>需要热流道或加热棒</t>
  </si>
  <si>
    <t>Hot runner or heating rod required</t>
  </si>
  <si>
    <t>组23:</t>
  </si>
  <si>
    <t>Zone23:</t>
  </si>
  <si>
    <t>温控箱准备ok</t>
  </si>
  <si>
    <t>The temperature control box is read</t>
  </si>
  <si>
    <t>组24:</t>
  </si>
  <si>
    <t>Zone24:</t>
  </si>
  <si>
    <t>模具取数、模穴号位置合理</t>
  </si>
  <si>
    <t>The location of mould number and mould cavity number is reasonable</t>
  </si>
  <si>
    <t>组25:</t>
  </si>
  <si>
    <t>Zone25:</t>
  </si>
  <si>
    <t>确认材料规格型、物性表</t>
  </si>
  <si>
    <t>Confirm material property table</t>
  </si>
  <si>
    <t>组26:</t>
  </si>
  <si>
    <t>Zone26:</t>
  </si>
  <si>
    <t>需要五金件</t>
  </si>
  <si>
    <t>need metal insert?</t>
  </si>
  <si>
    <t>组27:</t>
  </si>
  <si>
    <t>Zone27:</t>
  </si>
  <si>
    <t>如需要，确认五金件是否准备好</t>
  </si>
  <si>
    <t>The metal insert is ready?</t>
  </si>
  <si>
    <t>组28:</t>
  </si>
  <si>
    <t>Zone28:</t>
  </si>
  <si>
    <t>是否封针</t>
  </si>
  <si>
    <t>Is the valve?</t>
  </si>
  <si>
    <t>组29:</t>
  </si>
  <si>
    <t>Zone29:</t>
  </si>
  <si>
    <t>组30:</t>
  </si>
  <si>
    <t>Zone30:</t>
  </si>
  <si>
    <t>组31:</t>
  </si>
  <si>
    <t>Zone31:</t>
  </si>
  <si>
    <t>组32:</t>
  </si>
  <si>
    <t>Zone32:</t>
  </si>
  <si>
    <t>后模运水</t>
  </si>
  <si>
    <t>Core cooling</t>
  </si>
  <si>
    <t>设定项目</t>
  </si>
  <si>
    <t>Setting Item</t>
  </si>
  <si>
    <t>射胶</t>
  </si>
  <si>
    <t>Injection</t>
  </si>
  <si>
    <t>保压</t>
  </si>
  <si>
    <t>压力</t>
  </si>
  <si>
    <t>Pressure</t>
  </si>
  <si>
    <t>速度</t>
  </si>
  <si>
    <t>Speed</t>
  </si>
  <si>
    <t>位置</t>
  </si>
  <si>
    <t>Position</t>
  </si>
  <si>
    <t>倒索速度</t>
  </si>
  <si>
    <t>P.B. speed</t>
  </si>
  <si>
    <t>回料速度</t>
  </si>
  <si>
    <t>Returning speed</t>
  </si>
  <si>
    <t>背压</t>
  </si>
  <si>
    <t>Back pressure</t>
  </si>
  <si>
    <t>倒索位置</t>
  </si>
  <si>
    <t>P.B. position</t>
  </si>
  <si>
    <t>锁模力</t>
  </si>
  <si>
    <t>护模压力</t>
  </si>
  <si>
    <t>Protect force</t>
  </si>
  <si>
    <t>保压切换位置</t>
  </si>
  <si>
    <t>Holding transfer position</t>
  </si>
  <si>
    <t>监测项目</t>
  </si>
  <si>
    <t>Tail Item</t>
  </si>
  <si>
    <t>残量</t>
  </si>
  <si>
    <t>Cushion</t>
  </si>
  <si>
    <t>射胶时间</t>
  </si>
  <si>
    <t>Fill time</t>
  </si>
  <si>
    <t>射胶峰压</t>
  </si>
  <si>
    <t>切换时压力</t>
  </si>
  <si>
    <t>计量时间</t>
  </si>
  <si>
    <t>Measure time</t>
  </si>
  <si>
    <t>回料转速</t>
  </si>
  <si>
    <t>Returning screw rev</t>
  </si>
  <si>
    <t>成型周期</t>
  </si>
  <si>
    <t>Injection Cycle Time</t>
  </si>
  <si>
    <t>Holding time</t>
  </si>
  <si>
    <t>Cooling time</t>
  </si>
  <si>
    <t>开合模时间</t>
  </si>
  <si>
    <t>Mold open and close time</t>
  </si>
  <si>
    <t>周期</t>
  </si>
  <si>
    <t>Cycle time</t>
  </si>
  <si>
    <t>Mold Patameter</t>
  </si>
  <si>
    <t>模具厚</t>
  </si>
  <si>
    <t>Mold thickness</t>
  </si>
  <si>
    <t>模具长</t>
  </si>
  <si>
    <t>Mold length</t>
  </si>
  <si>
    <t>模具宽</t>
  </si>
  <si>
    <t>Mold width</t>
  </si>
  <si>
    <t>顶棍数量</t>
  </si>
  <si>
    <t>Ejector rod Num.</t>
  </si>
  <si>
    <t>顶棍间距</t>
  </si>
  <si>
    <t>Ejector rod Dis.</t>
  </si>
  <si>
    <t>顶出力</t>
  </si>
  <si>
    <t>Ejector force</t>
  </si>
  <si>
    <t>顶出次数</t>
  </si>
  <si>
    <t>Ejector times</t>
  </si>
  <si>
    <t>Ejector stroke</t>
  </si>
  <si>
    <t>复位方式</t>
  </si>
  <si>
    <t>Return method</t>
  </si>
  <si>
    <t>型芯设定</t>
  </si>
  <si>
    <t>Core setting</t>
  </si>
  <si>
    <t>热流道时序控制说明</t>
  </si>
  <si>
    <t>Hot runner sequential control instructions</t>
  </si>
  <si>
    <t>控制方式</t>
  </si>
  <si>
    <t>Contorl mode</t>
  </si>
  <si>
    <t>射胶模式</t>
  </si>
  <si>
    <t>Injection mode</t>
  </si>
  <si>
    <t>螺杆位置</t>
  </si>
  <si>
    <t>Screw Position</t>
  </si>
  <si>
    <t>Injection Time</t>
  </si>
  <si>
    <t>延时射胶</t>
  </si>
  <si>
    <t>Delay Inject</t>
  </si>
  <si>
    <t>实际射胶</t>
  </si>
  <si>
    <t>Actual Inject</t>
  </si>
  <si>
    <t>Reporter:</t>
  </si>
  <si>
    <t>日期:</t>
  </si>
  <si>
    <t>审核:</t>
  </si>
  <si>
    <t>阀针1</t>
  </si>
  <si>
    <t>Valve1</t>
  </si>
  <si>
    <t>阀针2</t>
  </si>
  <si>
    <t>Valve2</t>
  </si>
  <si>
    <t>阀针3</t>
  </si>
  <si>
    <t>Valve3</t>
  </si>
  <si>
    <t>阀针4</t>
  </si>
  <si>
    <t>Valve4</t>
  </si>
  <si>
    <t>阀针5</t>
  </si>
  <si>
    <t>Valve5</t>
  </si>
  <si>
    <t>阀针6</t>
  </si>
  <si>
    <t>Valve6</t>
  </si>
  <si>
    <t>阀针7</t>
  </si>
  <si>
    <t>Valve7</t>
  </si>
  <si>
    <t>阀针8</t>
  </si>
  <si>
    <t>Valve8</t>
  </si>
  <si>
    <t>阀针9</t>
  </si>
  <si>
    <t>Valve9</t>
  </si>
  <si>
    <t>阀针10</t>
  </si>
  <si>
    <t>Valve10</t>
  </si>
  <si>
    <t>阀针11</t>
  </si>
  <si>
    <t>Valve11</t>
  </si>
  <si>
    <t>阀针12</t>
  </si>
  <si>
    <t>Valve12</t>
  </si>
  <si>
    <t>阀针13</t>
  </si>
  <si>
    <t>Valve13</t>
  </si>
  <si>
    <t>阀针14</t>
  </si>
  <si>
    <t>Valve14</t>
  </si>
  <si>
    <t>阀针15</t>
  </si>
  <si>
    <t>Valve15</t>
  </si>
  <si>
    <t>阀针16</t>
  </si>
  <si>
    <t>Valve16</t>
  </si>
  <si>
    <t>阀针17</t>
  </si>
  <si>
    <t>Valve17</t>
  </si>
  <si>
    <t>阀针18</t>
  </si>
  <si>
    <t>Valve18</t>
  </si>
  <si>
    <t>阀针19</t>
  </si>
  <si>
    <t>Valve19</t>
  </si>
  <si>
    <t>阀针20</t>
  </si>
  <si>
    <t>Valve20</t>
  </si>
  <si>
    <t>时间</t>
  </si>
  <si>
    <t>Time</t>
  </si>
  <si>
    <t>射胶1st</t>
  </si>
  <si>
    <t>射胶2nd</t>
  </si>
  <si>
    <t>保压1st</t>
  </si>
  <si>
    <t>保压2nd</t>
  </si>
  <si>
    <t>备注:如您在与东江合作过程中有任何不满或抱怨，请联系市场部，邮箱：sales@tkmold.com. 非常感谢您的支持。</t>
  </si>
  <si>
    <t xml:space="preserve">Remark:If you have any dissatisfaction or complaint in cooperation with TK, please contact us via email: sales@tkmold.com. Thanks for your supporting. </t>
  </si>
  <si>
    <t>计量位置</t>
  </si>
  <si>
    <t>Measure position</t>
  </si>
  <si>
    <t>Back</t>
  </si>
  <si>
    <r>
      <rPr>
        <sz val="10"/>
        <rFont val="宋体"/>
        <charset val="134"/>
      </rPr>
      <t>注</t>
    </r>
    <r>
      <rPr>
        <sz val="10"/>
        <rFont val="Times New Roman"/>
        <charset val="134"/>
      </rPr>
      <t>/Note</t>
    </r>
    <r>
      <rPr>
        <b/>
        <sz val="10"/>
        <rFont val="Times New Roman"/>
        <charset val="134"/>
      </rPr>
      <t>:</t>
    </r>
  </si>
  <si>
    <t>保存期限：走模后2年</t>
  </si>
  <si>
    <t>OK</t>
  </si>
  <si>
    <t>NG</t>
  </si>
  <si>
    <t>NA</t>
  </si>
  <si>
    <t>顶出/复位</t>
  </si>
  <si>
    <t>只适用于T1试模</t>
  </si>
  <si>
    <t>保存期限:</t>
  </si>
  <si>
    <t>走模后2年</t>
  </si>
  <si>
    <t>模具编号</t>
  </si>
  <si>
    <t>机器型号</t>
  </si>
  <si>
    <t>腔</t>
  </si>
  <si>
    <t>胶料类别</t>
  </si>
  <si>
    <t>s</t>
  </si>
  <si>
    <t>干燥温度</t>
  </si>
  <si>
    <t>℃</t>
  </si>
  <si>
    <t>干燥时间</t>
  </si>
  <si>
    <t>h</t>
  </si>
  <si>
    <t>喷嘴孔直径</t>
  </si>
  <si>
    <t>mm</t>
  </si>
  <si>
    <t>螺杆压缩比</t>
  </si>
  <si>
    <t>最大可设定注射压力</t>
  </si>
  <si>
    <t>Mpa</t>
  </si>
  <si>
    <t>最大可设定注射速度</t>
  </si>
  <si>
    <t>mm/s</t>
  </si>
  <si>
    <t>g</t>
  </si>
  <si>
    <t>制品总重量</t>
  </si>
  <si>
    <t>制品单件重量</t>
  </si>
  <si>
    <t>#HRT1</t>
  </si>
  <si>
    <t>#HRT2</t>
  </si>
  <si>
    <t>#HRT3</t>
  </si>
  <si>
    <t>#HRT4</t>
  </si>
  <si>
    <t>#HRT5</t>
  </si>
  <si>
    <t>#HRT6</t>
  </si>
  <si>
    <t>#HRT7</t>
  </si>
  <si>
    <t>#HRT8</t>
  </si>
  <si>
    <t>#HRT9</t>
  </si>
  <si>
    <t>#HRT10</t>
  </si>
  <si>
    <t>#HRT11</t>
  </si>
  <si>
    <t>#HRT12</t>
  </si>
  <si>
    <t>#HRT13</t>
  </si>
  <si>
    <t>#HRT14</t>
  </si>
  <si>
    <t>#HRT15</t>
  </si>
  <si>
    <t>#HRT16</t>
  </si>
  <si>
    <t>#HRT17</t>
  </si>
  <si>
    <t>#HRT18</t>
  </si>
  <si>
    <t>#HRT19</t>
  </si>
  <si>
    <t>#HRT20</t>
  </si>
  <si>
    <t>#HRT21</t>
  </si>
  <si>
    <t>#HRT22</t>
  </si>
  <si>
    <t>#HRT23</t>
  </si>
  <si>
    <t>#HRT24</t>
  </si>
  <si>
    <t>#HRT25</t>
  </si>
  <si>
    <t>#HRT26</t>
  </si>
  <si>
    <t>#HRT27</t>
  </si>
  <si>
    <t>#HRT28</t>
  </si>
  <si>
    <t>#HRT29</t>
  </si>
  <si>
    <t>#HRT30</t>
  </si>
  <si>
    <t>#HRT31</t>
  </si>
  <si>
    <t>#HRT32</t>
  </si>
  <si>
    <t>#HRT33</t>
  </si>
  <si>
    <t>#HRT34</t>
  </si>
  <si>
    <t>#HRT35</t>
  </si>
  <si>
    <t>#HRT36</t>
  </si>
  <si>
    <t>#HRT37</t>
  </si>
  <si>
    <t>#HRT38</t>
  </si>
  <si>
    <t>#HRT39</t>
  </si>
  <si>
    <t>#HRT40</t>
  </si>
  <si>
    <t>#HRT41</t>
  </si>
  <si>
    <t>#HRT42</t>
  </si>
  <si>
    <t>#HRT43</t>
  </si>
  <si>
    <t>#HRT44</t>
  </si>
  <si>
    <t>#HRT45</t>
  </si>
  <si>
    <t>#HRT46</t>
  </si>
  <si>
    <t>#HRT47</t>
  </si>
  <si>
    <t>#HRT48</t>
  </si>
  <si>
    <t>#HRT49</t>
  </si>
  <si>
    <t>#HRT50</t>
  </si>
  <si>
    <t>#HRT51</t>
  </si>
  <si>
    <t>#HRT52</t>
  </si>
  <si>
    <t>#HRT53</t>
  </si>
  <si>
    <t>#HRT54</t>
  </si>
  <si>
    <t>#HRT55</t>
  </si>
  <si>
    <t>#HRT56</t>
  </si>
  <si>
    <t>#HRT57</t>
  </si>
  <si>
    <t>#HRT58</t>
  </si>
  <si>
    <t>#HRT59</t>
  </si>
  <si>
    <t>#HRT60</t>
  </si>
  <si>
    <t>#HRT61</t>
  </si>
  <si>
    <t>#HRT62</t>
  </si>
  <si>
    <t>#HRT63</t>
  </si>
  <si>
    <t>#HRT64</t>
  </si>
  <si>
    <t>#HRT65</t>
  </si>
  <si>
    <t>#HRT66</t>
  </si>
  <si>
    <t>#HRT67</t>
  </si>
  <si>
    <t>#HRT68</t>
  </si>
  <si>
    <t>#HRT69</t>
  </si>
  <si>
    <t>#HRT70</t>
  </si>
  <si>
    <t>#HRT71</t>
  </si>
  <si>
    <t>#HRT72</t>
  </si>
  <si>
    <t>#HRT73</t>
  </si>
  <si>
    <t>#HRT74</t>
  </si>
  <si>
    <t>#HRT75</t>
  </si>
  <si>
    <t>#HRT76</t>
  </si>
  <si>
    <t>#HRT77</t>
  </si>
  <si>
    <t>#HRT78</t>
  </si>
  <si>
    <t>#HRT79</t>
  </si>
  <si>
    <t>#HRT80</t>
  </si>
  <si>
    <t>#HRT81</t>
  </si>
  <si>
    <t>#HRT82</t>
  </si>
  <si>
    <t>#HRT83</t>
  </si>
  <si>
    <t>#HRT84</t>
  </si>
  <si>
    <t>#HRT85</t>
  </si>
  <si>
    <t>#HRT86</t>
  </si>
  <si>
    <t>#HRT87</t>
  </si>
  <si>
    <t>#HRT88</t>
  </si>
  <si>
    <t>#HRT89</t>
  </si>
  <si>
    <t>#HRT90</t>
  </si>
  <si>
    <t>#HRT91</t>
  </si>
  <si>
    <t>#HRT92</t>
  </si>
  <si>
    <t>#HRT93</t>
  </si>
  <si>
    <t>#HRT94</t>
  </si>
  <si>
    <t>#HRT95</t>
  </si>
  <si>
    <t>#HRT96</t>
  </si>
  <si>
    <t>#HRT97</t>
  </si>
  <si>
    <t>#HRT98</t>
  </si>
  <si>
    <t>#HRT99</t>
  </si>
  <si>
    <t>#HRT100</t>
  </si>
  <si>
    <t>#HRT101</t>
  </si>
  <si>
    <t>#HRT102</t>
  </si>
  <si>
    <t>#HRT103</t>
  </si>
  <si>
    <t>#HRT104</t>
  </si>
  <si>
    <t>#HRT105</t>
  </si>
  <si>
    <t>#HRT106</t>
  </si>
  <si>
    <t>模具运水图</t>
  </si>
  <si>
    <t>简图</t>
  </si>
  <si>
    <t>具体接法</t>
  </si>
  <si>
    <t>运水回路组数</t>
  </si>
  <si>
    <t>组</t>
  </si>
  <si>
    <t>回路</t>
  </si>
  <si>
    <t>描述</t>
  </si>
  <si>
    <t>温控</t>
  </si>
  <si>
    <t>温度</t>
  </si>
  <si>
    <t>流量</t>
  </si>
  <si>
    <t>具体连接方法</t>
  </si>
  <si>
    <t>gal/min</t>
  </si>
  <si>
    <r>
      <rPr>
        <b/>
        <sz val="10"/>
        <color theme="1"/>
        <rFont val="微软雅黑"/>
        <charset val="134"/>
      </rPr>
      <t>kgf/cm</t>
    </r>
    <r>
      <rPr>
        <vertAlign val="superscript"/>
        <sz val="10"/>
        <color theme="1"/>
        <rFont val="微软雅黑"/>
        <charset val="134"/>
      </rPr>
      <t>2</t>
    </r>
  </si>
  <si>
    <r>
      <rPr>
        <b/>
        <sz val="10"/>
        <color theme="1"/>
        <rFont val="微软雅黑"/>
        <charset val="134"/>
      </rPr>
      <t>kgf/cm</t>
    </r>
    <r>
      <rPr>
        <b/>
        <vertAlign val="superscript"/>
        <sz val="10"/>
        <color theme="1"/>
        <rFont val="微软雅黑"/>
        <charset val="134"/>
      </rPr>
      <t>2</t>
    </r>
  </si>
  <si>
    <t>定模</t>
  </si>
  <si>
    <t>组1</t>
  </si>
  <si>
    <t>模温机</t>
  </si>
  <si>
    <t>组2</t>
  </si>
  <si>
    <t>组3</t>
  </si>
  <si>
    <t>组4</t>
  </si>
  <si>
    <t>组5</t>
  </si>
  <si>
    <t>组6</t>
  </si>
  <si>
    <t>动模</t>
  </si>
  <si>
    <t>计量</t>
  </si>
  <si>
    <t>#IP1</t>
  </si>
  <si>
    <t>#IP2</t>
  </si>
  <si>
    <t>#IP3</t>
  </si>
  <si>
    <t>#IP4</t>
  </si>
  <si>
    <t>#IP5</t>
  </si>
  <si>
    <t>#IP6</t>
  </si>
  <si>
    <t>#MP1</t>
  </si>
  <si>
    <t>#MP2</t>
  </si>
  <si>
    <t>#MP3</t>
  </si>
  <si>
    <t>#MP4</t>
  </si>
  <si>
    <t>#IV1</t>
  </si>
  <si>
    <t>#IV2</t>
  </si>
  <si>
    <t>#IV3</t>
  </si>
  <si>
    <t>#IV4</t>
  </si>
  <si>
    <t>#IV5</t>
  </si>
  <si>
    <t>#IV6</t>
  </si>
  <si>
    <t>螺杆转速</t>
  </si>
  <si>
    <t>rpm</t>
  </si>
  <si>
    <t>#MSR1</t>
  </si>
  <si>
    <t>#MSR2</t>
  </si>
  <si>
    <t>#MSR3</t>
  </si>
  <si>
    <t>#MSR4</t>
  </si>
  <si>
    <t>#IL1</t>
  </si>
  <si>
    <t>#IL2</t>
  </si>
  <si>
    <t>#IL3</t>
  </si>
  <si>
    <t>#IL4</t>
  </si>
  <si>
    <t>#IL5</t>
  </si>
  <si>
    <t>#IL6</t>
  </si>
  <si>
    <t>#MBP1</t>
  </si>
  <si>
    <t>#MBP2</t>
  </si>
  <si>
    <t>#MBP3</t>
  </si>
  <si>
    <t>#MBP4</t>
  </si>
  <si>
    <t>注射延迟</t>
  </si>
  <si>
    <t>#ML1</t>
  </si>
  <si>
    <t>#ML2</t>
  </si>
  <si>
    <t>#ML3</t>
  </si>
  <si>
    <t>#ML4</t>
  </si>
  <si>
    <t>储料</t>
  </si>
  <si>
    <t>VP切换</t>
  </si>
  <si>
    <t>储前射退模式</t>
  </si>
  <si>
    <t>切换方式</t>
  </si>
  <si>
    <t>切换时间</t>
  </si>
  <si>
    <t>储后射退模式</t>
  </si>
  <si>
    <t>切换位置</t>
  </si>
  <si>
    <t>切换压力</t>
  </si>
  <si>
    <t>距离</t>
  </si>
  <si>
    <t>切换速度</t>
  </si>
  <si>
    <t>储前</t>
  </si>
  <si>
    <t>#DPBM</t>
  </si>
  <si>
    <t>#DVBM</t>
  </si>
  <si>
    <t>#DDBM</t>
  </si>
  <si>
    <t>#DTBM</t>
  </si>
  <si>
    <t>储后</t>
  </si>
  <si>
    <t>#DPAM</t>
  </si>
  <si>
    <t>#DVAM</t>
  </si>
  <si>
    <t>#DDAM</t>
  </si>
  <si>
    <t>#DTAM</t>
  </si>
  <si>
    <t>#HP1</t>
  </si>
  <si>
    <t>#HP2</t>
  </si>
  <si>
    <t>#HP3</t>
  </si>
  <si>
    <t>#HP4</t>
  </si>
  <si>
    <t>#HP5</t>
  </si>
  <si>
    <t>储料延迟</t>
  </si>
  <si>
    <t>#HV1</t>
  </si>
  <si>
    <t>#HV2</t>
  </si>
  <si>
    <t>#HV3</t>
  </si>
  <si>
    <t>#HV4</t>
  </si>
  <si>
    <t>#HV5</t>
  </si>
  <si>
    <t>终止位置</t>
  </si>
  <si>
    <t>#HT1</t>
  </si>
  <si>
    <t>#HT2</t>
  </si>
  <si>
    <t>#HT3</t>
  </si>
  <si>
    <t>#HT4</t>
  </si>
  <si>
    <t>#HT5</t>
  </si>
  <si>
    <t>料筒温度</t>
  </si>
  <si>
    <t>HN</t>
  </si>
  <si>
    <t>H1</t>
  </si>
  <si>
    <t>H2</t>
  </si>
  <si>
    <t>H3</t>
  </si>
  <si>
    <t>H4</t>
  </si>
  <si>
    <t>H5</t>
  </si>
  <si>
    <t>H6</t>
  </si>
  <si>
    <t>H7</t>
  </si>
  <si>
    <t>H8</t>
  </si>
  <si>
    <t>H9</t>
  </si>
  <si>
    <t>顶针设定</t>
  </si>
  <si>
    <t>开始位置</t>
  </si>
  <si>
    <t>顶针后退</t>
  </si>
  <si>
    <t>顶进延时</t>
  </si>
  <si>
    <t>保持时间</t>
  </si>
  <si>
    <t>中间时间</t>
  </si>
  <si>
    <t>吹起时间</t>
  </si>
  <si>
    <t>顶针模式</t>
  </si>
  <si>
    <t>顶针前进</t>
  </si>
  <si>
    <t>次</t>
  </si>
  <si>
    <t>开模中推顶</t>
  </si>
  <si>
    <t>开</t>
  </si>
  <si>
    <t>关</t>
  </si>
  <si>
    <t>推顶力</t>
  </si>
  <si>
    <t>监视扭矩</t>
  </si>
  <si>
    <t>开合模设定</t>
  </si>
  <si>
    <t>Ton</t>
  </si>
  <si>
    <t>开模</t>
  </si>
  <si>
    <t>使用机械手</t>
  </si>
  <si>
    <t>是</t>
  </si>
  <si>
    <t>否</t>
  </si>
  <si>
    <t>使用夹具</t>
  </si>
  <si>
    <t>模保时间</t>
  </si>
  <si>
    <t>模保速度</t>
  </si>
  <si>
    <t>合模</t>
  </si>
  <si>
    <t>模保压力</t>
  </si>
  <si>
    <t>KN</t>
  </si>
  <si>
    <t>允许偏差</t>
  </si>
  <si>
    <t>转盘方式</t>
  </si>
  <si>
    <t>转盘速度</t>
  </si>
  <si>
    <t>抽芯设定</t>
  </si>
  <si>
    <t>运作状态</t>
  </si>
  <si>
    <t>编号</t>
  </si>
  <si>
    <t>开关选择</t>
  </si>
  <si>
    <t>锁模入芯方式</t>
  </si>
  <si>
    <t>开模出芯方式</t>
  </si>
  <si>
    <t>入芯时间设定</t>
  </si>
  <si>
    <t>出芯时间设定</t>
  </si>
  <si>
    <t>入芯位置</t>
  </si>
  <si>
    <t>出芯位置</t>
  </si>
  <si>
    <t>周期时间</t>
  </si>
  <si>
    <t>模保终点</t>
  </si>
  <si>
    <t>顶针缩回时间</t>
  </si>
  <si>
    <t>顶针前进时间</t>
  </si>
  <si>
    <t>保压终点位置</t>
  </si>
  <si>
    <t>VP切换位置</t>
  </si>
  <si>
    <t>注射起点位置</t>
  </si>
  <si>
    <t>余料量</t>
  </si>
  <si>
    <t>计量起点位置</t>
  </si>
  <si>
    <t>计量终点位置</t>
  </si>
  <si>
    <t>峰值压力</t>
  </si>
  <si>
    <t>VP切换压力</t>
  </si>
  <si>
    <t>模具尺寸（横）</t>
  </si>
  <si>
    <t>模具尺寸（竖）</t>
  </si>
  <si>
    <t>模具厚度</t>
  </si>
  <si>
    <t>顶棍孔间距</t>
  </si>
  <si>
    <t>开位置</t>
  </si>
  <si>
    <t>关位置</t>
  </si>
  <si>
    <t>保压开时间</t>
  </si>
  <si>
    <t>保压关时间</t>
  </si>
  <si>
    <t>(mm)</t>
  </si>
  <si>
    <t>(s)</t>
  </si>
  <si>
    <t>#SCSP1</t>
  </si>
  <si>
    <t>#SCIT1</t>
  </si>
  <si>
    <t>#SCDI1</t>
  </si>
  <si>
    <t>#SCAI1</t>
  </si>
  <si>
    <t>#SASP1</t>
  </si>
  <si>
    <t>#SBIT1</t>
  </si>
  <si>
    <t>#SDDI1</t>
  </si>
  <si>
    <t>#SEAI1</t>
  </si>
  <si>
    <t>#SCSP2</t>
  </si>
  <si>
    <t>#SCIT2</t>
  </si>
  <si>
    <t>#SCDI2</t>
  </si>
  <si>
    <t>#SCAI2</t>
  </si>
  <si>
    <t>#SASP2</t>
  </si>
  <si>
    <t>#SBIT2</t>
  </si>
  <si>
    <t>#SDDI2</t>
  </si>
  <si>
    <t>#SEAI2</t>
  </si>
  <si>
    <t>#SCSP3</t>
  </si>
  <si>
    <t>#SCIT3</t>
  </si>
  <si>
    <t>#SCDI3</t>
  </si>
  <si>
    <t>#SCAI3</t>
  </si>
  <si>
    <t>#SASP3</t>
  </si>
  <si>
    <t>#SBIT3</t>
  </si>
  <si>
    <t>#SDDI3</t>
  </si>
  <si>
    <t>#SEAI3</t>
  </si>
  <si>
    <t>#SCSP4</t>
  </si>
  <si>
    <t>#SCIT4</t>
  </si>
  <si>
    <t>#SCDI4</t>
  </si>
  <si>
    <t>#SCAI4</t>
  </si>
  <si>
    <t>#SASP4</t>
  </si>
  <si>
    <t>#SBIT4</t>
  </si>
  <si>
    <t>#SDDI4</t>
  </si>
  <si>
    <t>#SEAI4</t>
  </si>
  <si>
    <t>#SCSP5</t>
  </si>
  <si>
    <t>#SCIT5</t>
  </si>
  <si>
    <t>#SCDI5</t>
  </si>
  <si>
    <t>#SCAI5</t>
  </si>
  <si>
    <t>#SASP5</t>
  </si>
  <si>
    <t>#SBIT5</t>
  </si>
  <si>
    <t>#SDDI5</t>
  </si>
  <si>
    <t>#SEAI5</t>
  </si>
  <si>
    <t>#SCSP6</t>
  </si>
  <si>
    <t>#SCIT6</t>
  </si>
  <si>
    <t>#SCDI6</t>
  </si>
  <si>
    <t>#SCAI6</t>
  </si>
  <si>
    <t>#SASP6</t>
  </si>
  <si>
    <t>#SBIT6</t>
  </si>
  <si>
    <t>#SDDI6</t>
  </si>
  <si>
    <t>#SEAI6</t>
  </si>
  <si>
    <t>#SCSP7</t>
  </si>
  <si>
    <t>#SCIT7</t>
  </si>
  <si>
    <t>#SCDI7</t>
  </si>
  <si>
    <t>#SCAI7</t>
  </si>
  <si>
    <t>#SASP7</t>
  </si>
  <si>
    <t>#SBIT7</t>
  </si>
  <si>
    <t>#SDDI7</t>
  </si>
  <si>
    <t>#SEAI7</t>
  </si>
  <si>
    <t>#SCSP8</t>
  </si>
  <si>
    <t>#SCIT8</t>
  </si>
  <si>
    <t>#SCDI8</t>
  </si>
  <si>
    <t>#SCAI8</t>
  </si>
  <si>
    <t>#SASP8</t>
  </si>
  <si>
    <t>#SBIT8</t>
  </si>
  <si>
    <t>#SDDI8</t>
  </si>
  <si>
    <t>#SEAI8</t>
  </si>
  <si>
    <t>#SCSP9</t>
  </si>
  <si>
    <t>#SCIT9</t>
  </si>
  <si>
    <t>#SCDI9</t>
  </si>
  <si>
    <t>#SCAI9</t>
  </si>
  <si>
    <t>#SASP9</t>
  </si>
  <si>
    <t>#SBIT9</t>
  </si>
  <si>
    <t>#SDDI9</t>
  </si>
  <si>
    <t>#SEAI9</t>
  </si>
  <si>
    <t>#SCSP10</t>
  </si>
  <si>
    <t>#SCIT10</t>
  </si>
  <si>
    <t>#SCDI10</t>
  </si>
  <si>
    <t>#SCAI10</t>
  </si>
  <si>
    <t>#SASP10</t>
  </si>
  <si>
    <t>#SBIT10</t>
  </si>
  <si>
    <t>#SDDI10</t>
  </si>
  <si>
    <t>#SEAI10</t>
  </si>
  <si>
    <t>#SCSP11</t>
  </si>
  <si>
    <t>#SCIT11</t>
  </si>
  <si>
    <t>#SCDI11</t>
  </si>
  <si>
    <t>#SCAI11</t>
  </si>
  <si>
    <t>#SASP11</t>
  </si>
  <si>
    <t>#SBIT11</t>
  </si>
  <si>
    <t>#SDDI11</t>
  </si>
  <si>
    <t>#SEAI11</t>
  </si>
  <si>
    <t>#SCSP12</t>
  </si>
  <si>
    <t>#SCIT12</t>
  </si>
  <si>
    <t>#SCDI12</t>
  </si>
  <si>
    <t>#SCAI12</t>
  </si>
  <si>
    <t>#SASP12</t>
  </si>
  <si>
    <t>#SBIT12</t>
  </si>
  <si>
    <t>#SDDI12</t>
  </si>
  <si>
    <t>#SEAI12</t>
  </si>
  <si>
    <t>#SCSP13</t>
  </si>
  <si>
    <t>#SCIT13</t>
  </si>
  <si>
    <t>#SCDI13</t>
  </si>
  <si>
    <t>#SCAI13</t>
  </si>
  <si>
    <t>#SASP13</t>
  </si>
  <si>
    <t>#SBIT13</t>
  </si>
  <si>
    <t>#SDDI13</t>
  </si>
  <si>
    <t>#SEAI13</t>
  </si>
  <si>
    <t>#SCSP14</t>
  </si>
  <si>
    <t>#SCIT14</t>
  </si>
  <si>
    <t>#SCDI14</t>
  </si>
  <si>
    <t>#SCAI14</t>
  </si>
  <si>
    <t>#SASP14</t>
  </si>
  <si>
    <t>#SBIT14</t>
  </si>
  <si>
    <t>#SDDI14</t>
  </si>
  <si>
    <t>#SEAI14</t>
  </si>
  <si>
    <t>#SCSP15</t>
  </si>
  <si>
    <t>#SCIT15</t>
  </si>
  <si>
    <t>#SCDI15</t>
  </si>
  <si>
    <t>#SCAI15</t>
  </si>
  <si>
    <t>#SASP15</t>
  </si>
  <si>
    <t>#SBIT15</t>
  </si>
  <si>
    <t>#SDDI15</t>
  </si>
  <si>
    <t>#SEAI15</t>
  </si>
  <si>
    <t>#SCSP16</t>
  </si>
  <si>
    <t>#SCIT16</t>
  </si>
  <si>
    <t>#SCDI16</t>
  </si>
  <si>
    <t>#SCAI16</t>
  </si>
  <si>
    <t>#SASP16</t>
  </si>
  <si>
    <t>#SBIT16</t>
  </si>
  <si>
    <t>#SDDI16</t>
  </si>
  <si>
    <t>#SEAI16</t>
  </si>
  <si>
    <t>#SCSP17</t>
  </si>
  <si>
    <t>#SCIT17</t>
  </si>
  <si>
    <t>#SCDI17</t>
  </si>
  <si>
    <t>#SCAI17</t>
  </si>
  <si>
    <t>#SASP17</t>
  </si>
  <si>
    <t>#SBIT17</t>
  </si>
  <si>
    <t>#SDDI17</t>
  </si>
  <si>
    <t>#SEAI17</t>
  </si>
  <si>
    <t>#SCSP18</t>
  </si>
  <si>
    <t>#SCIT18</t>
  </si>
  <si>
    <t>#SCDI18</t>
  </si>
  <si>
    <t>#SCAI18</t>
  </si>
  <si>
    <t>#SASP18</t>
  </si>
  <si>
    <t>#SBIT18</t>
  </si>
  <si>
    <t>#SDDI18</t>
  </si>
  <si>
    <t>#SEAI18</t>
  </si>
  <si>
    <t>#SCSP19</t>
  </si>
  <si>
    <t>#SCIT19</t>
  </si>
  <si>
    <t>#SCDI19</t>
  </si>
  <si>
    <t>#SCAI19</t>
  </si>
  <si>
    <t>#SASP19</t>
  </si>
  <si>
    <t>#SBIT19</t>
  </si>
  <si>
    <t>#SDDI19</t>
  </si>
  <si>
    <t>#SEAI19</t>
  </si>
  <si>
    <t>#SCSP20</t>
  </si>
  <si>
    <t>#SCIT20</t>
  </si>
  <si>
    <t>#SCDI20</t>
  </si>
  <si>
    <t>#SCAI20</t>
  </si>
  <si>
    <t>#SASP20</t>
  </si>
  <si>
    <t>#SBIT20</t>
  </si>
  <si>
    <t>#SDDI20</t>
  </si>
  <si>
    <t>#SEAI20</t>
  </si>
  <si>
    <t>中子设定</t>
  </si>
  <si>
    <t>中子</t>
  </si>
  <si>
    <t>中子控制</t>
  </si>
  <si>
    <t>延时设置</t>
  </si>
  <si>
    <t>进芯模式</t>
  </si>
  <si>
    <t>监测位置</t>
  </si>
  <si>
    <t>动作</t>
  </si>
  <si>
    <t>泵</t>
  </si>
  <si>
    <t>阀</t>
  </si>
  <si>
    <t>隔位开关(进)</t>
  </si>
  <si>
    <t>(bar)</t>
  </si>
  <si>
    <t>(%)</t>
  </si>
  <si>
    <t>组#1</t>
  </si>
  <si>
    <t>#ACSP1</t>
  </si>
  <si>
    <t>#BCST1</t>
  </si>
  <si>
    <t>#CCSI1</t>
  </si>
  <si>
    <t>#DCSI1</t>
  </si>
  <si>
    <t>#ECSP1</t>
  </si>
  <si>
    <t>#FCST1</t>
  </si>
  <si>
    <t>#GCSI1</t>
  </si>
  <si>
    <t>#HCSI1</t>
  </si>
  <si>
    <t>#ICSI1</t>
  </si>
  <si>
    <t>#JCSI1</t>
  </si>
  <si>
    <t>组#2</t>
  </si>
  <si>
    <t>#ACSP2</t>
  </si>
  <si>
    <t>#BCST2</t>
  </si>
  <si>
    <t>#CCSI2</t>
  </si>
  <si>
    <t>#DCSI2</t>
  </si>
  <si>
    <t>#ECSP2</t>
  </si>
  <si>
    <t>#FCST2</t>
  </si>
  <si>
    <t>#GCSI2</t>
  </si>
  <si>
    <t>#HCSI2</t>
  </si>
  <si>
    <t>#ICSI2</t>
  </si>
  <si>
    <t>#JCSI2</t>
  </si>
  <si>
    <t>组#3</t>
  </si>
  <si>
    <t>#ACSP3</t>
  </si>
  <si>
    <t>#BCST3</t>
  </si>
  <si>
    <t>#CCSI3</t>
  </si>
  <si>
    <t>#DCSI3</t>
  </si>
  <si>
    <t>#ECSP3</t>
  </si>
  <si>
    <t>#FCST3</t>
  </si>
  <si>
    <t>#GCSI3</t>
  </si>
  <si>
    <t>#HCSI3</t>
  </si>
  <si>
    <t>#ICSI3</t>
  </si>
  <si>
    <t>#JCSI3</t>
  </si>
  <si>
    <t>组#4</t>
  </si>
  <si>
    <t>#ACSP4</t>
  </si>
  <si>
    <t>#BCST4</t>
  </si>
  <si>
    <t>#CCSI4</t>
  </si>
  <si>
    <t>#DCSI4</t>
  </si>
  <si>
    <t>#ECSP4</t>
  </si>
  <si>
    <t>#FCST4</t>
  </si>
  <si>
    <t>#GCSI4</t>
  </si>
  <si>
    <t>#HCSI4</t>
  </si>
  <si>
    <t>#ICSI4</t>
  </si>
  <si>
    <t>#JCSI4</t>
  </si>
  <si>
    <t>组#5</t>
  </si>
  <si>
    <t>#ACSP5</t>
  </si>
  <si>
    <t>#BCST5</t>
  </si>
  <si>
    <t>#CCSI5</t>
  </si>
  <si>
    <t>#DCSI5</t>
  </si>
  <si>
    <t>#ECSP5</t>
  </si>
  <si>
    <t>#FCST5</t>
  </si>
  <si>
    <t>#GCSI5</t>
  </si>
  <si>
    <t>#HCSI5</t>
  </si>
  <si>
    <t>#ICSI5</t>
  </si>
  <si>
    <t>#JCSI5</t>
  </si>
  <si>
    <t>组#6</t>
  </si>
  <si>
    <t>#ACSP6</t>
  </si>
  <si>
    <t>#BCST6</t>
  </si>
  <si>
    <t>#CCSI6</t>
  </si>
  <si>
    <t>#DCSI6</t>
  </si>
  <si>
    <t>#ECSP6</t>
  </si>
  <si>
    <t>#FCST6</t>
  </si>
  <si>
    <t>#GCSI6</t>
  </si>
  <si>
    <t>#HCSI6</t>
  </si>
  <si>
    <t>#ICSI6</t>
  </si>
  <si>
    <t>#JCSI6</t>
  </si>
  <si>
    <t>组#7</t>
  </si>
  <si>
    <t>#ACSP7</t>
  </si>
  <si>
    <t>#BCST7</t>
  </si>
  <si>
    <t>#CCSI7</t>
  </si>
  <si>
    <t>#DCSI7</t>
  </si>
  <si>
    <t>#ECSP7</t>
  </si>
  <si>
    <t>#FCST7</t>
  </si>
  <si>
    <t>#GCSI7</t>
  </si>
  <si>
    <t>#HCSI7</t>
  </si>
  <si>
    <t>#ICSI7</t>
  </si>
  <si>
    <t>#JCSI7</t>
  </si>
  <si>
    <t>组#8</t>
  </si>
  <si>
    <t>#ACSP8</t>
  </si>
  <si>
    <t>#BCST8</t>
  </si>
  <si>
    <t>#CCSI8</t>
  </si>
  <si>
    <t>#DCSI8</t>
  </si>
  <si>
    <t>#ECSP8</t>
  </si>
  <si>
    <t>#FCST8</t>
  </si>
  <si>
    <t>#GCSI8</t>
  </si>
  <si>
    <t>#HCSI8</t>
  </si>
  <si>
    <t>#ICSI8</t>
  </si>
  <si>
    <t>#JCSI8</t>
  </si>
  <si>
    <t>组#9</t>
  </si>
  <si>
    <t>#ACSP9</t>
  </si>
  <si>
    <t>#BCST9</t>
  </si>
  <si>
    <t>#CCSI9</t>
  </si>
  <si>
    <t>#DCSI9</t>
  </si>
  <si>
    <t>#ECSP9</t>
  </si>
  <si>
    <t>#FCST9</t>
  </si>
  <si>
    <t>#GCSI9</t>
  </si>
  <si>
    <t>#HCSI9</t>
  </si>
  <si>
    <t>#ICSI9</t>
  </si>
  <si>
    <t>#JCSI9</t>
  </si>
  <si>
    <t>组#10</t>
  </si>
  <si>
    <t>#ACSP10</t>
  </si>
  <si>
    <t>#BCST10</t>
  </si>
  <si>
    <t>#CCSI10</t>
  </si>
  <si>
    <t>#DCSI10</t>
  </si>
  <si>
    <t>#ECSP10</t>
  </si>
  <si>
    <t>#FCST10</t>
  </si>
  <si>
    <t>#GCSI10</t>
  </si>
  <si>
    <t>#HCSI10</t>
  </si>
  <si>
    <t>#ICSI10</t>
  </si>
  <si>
    <t>#JCSI10</t>
  </si>
  <si>
    <t>组#11</t>
  </si>
  <si>
    <t>#ACSP11</t>
  </si>
  <si>
    <t>#BCST11</t>
  </si>
  <si>
    <t>#CCSI11</t>
  </si>
  <si>
    <t>#DCSI11</t>
  </si>
  <si>
    <t>#ECSP11</t>
  </si>
  <si>
    <t>#FCST11</t>
  </si>
  <si>
    <t>#GCSI11</t>
  </si>
  <si>
    <t>#HCSI11</t>
  </si>
  <si>
    <t>#ICSI11</t>
  </si>
  <si>
    <t>#JCSI11</t>
  </si>
  <si>
    <t>组#12</t>
  </si>
  <si>
    <t>#ACSP12</t>
  </si>
  <si>
    <t>#BCST12</t>
  </si>
  <si>
    <t>#CCSI12</t>
  </si>
  <si>
    <t>#DCSI12</t>
  </si>
  <si>
    <t>#ECSP12</t>
  </si>
  <si>
    <t>#FCST12</t>
  </si>
  <si>
    <t>#GCSI12</t>
  </si>
  <si>
    <t>#HCSI12</t>
  </si>
  <si>
    <t>#ICSI12</t>
  </si>
  <si>
    <t>#JCSI12</t>
  </si>
  <si>
    <t>中子控制
延时设置</t>
  </si>
  <si>
    <t>出芯模式</t>
  </si>
  <si>
    <t>隔位开关(出)</t>
  </si>
  <si>
    <t>#AACSP1</t>
  </si>
  <si>
    <t>#ABCST1</t>
  </si>
  <si>
    <t>#ACCSI1</t>
  </si>
  <si>
    <t>#ADCSI1</t>
  </si>
  <si>
    <t>#AECSP1</t>
  </si>
  <si>
    <t>#AFCST1</t>
  </si>
  <si>
    <t>#AGCSI1</t>
  </si>
  <si>
    <t>#AHCSI1</t>
  </si>
  <si>
    <t>#AICSI1</t>
  </si>
  <si>
    <t>#AJCSI1</t>
  </si>
  <si>
    <t>#AACSP2</t>
  </si>
  <si>
    <t>#ABCST2</t>
  </si>
  <si>
    <t>#ACCSI2</t>
  </si>
  <si>
    <t>#ADCSI2</t>
  </si>
  <si>
    <t>#AECSP2</t>
  </si>
  <si>
    <t>#AFCST2</t>
  </si>
  <si>
    <t>#AGCSI2</t>
  </si>
  <si>
    <t>#AHCSI2</t>
  </si>
  <si>
    <t>#AICSI2</t>
  </si>
  <si>
    <t>#AJCSI2</t>
  </si>
  <si>
    <t>#AACSP3</t>
  </si>
  <si>
    <t>#ABCST3</t>
  </si>
  <si>
    <t>#ACCSI3</t>
  </si>
  <si>
    <t>#ADCSI3</t>
  </si>
  <si>
    <t>#AECSP3</t>
  </si>
  <si>
    <t>#AFCST3</t>
  </si>
  <si>
    <t>#AGCSI3</t>
  </si>
  <si>
    <t>#AHCSI3</t>
  </si>
  <si>
    <t>#AICSI3</t>
  </si>
  <si>
    <t>#AJCSI3</t>
  </si>
  <si>
    <t>#AACSP4</t>
  </si>
  <si>
    <t>#ABCST4</t>
  </si>
  <si>
    <t>#ACCSI4</t>
  </si>
  <si>
    <t>#ADCSI4</t>
  </si>
  <si>
    <t>#AECSP4</t>
  </si>
  <si>
    <t>#AFCST4</t>
  </si>
  <si>
    <t>#AGCSI4</t>
  </si>
  <si>
    <t>#AHCSI4</t>
  </si>
  <si>
    <t>#AICSI4</t>
  </si>
  <si>
    <t>#AJCSI4</t>
  </si>
  <si>
    <t>#AACSP5</t>
  </si>
  <si>
    <t>#ABCST5</t>
  </si>
  <si>
    <t>#ACCSI5</t>
  </si>
  <si>
    <t>#ADCSI5</t>
  </si>
  <si>
    <t>#AECSP5</t>
  </si>
  <si>
    <t>#AFCST5</t>
  </si>
  <si>
    <t>#AGCSI5</t>
  </si>
  <si>
    <t>#AHCSI5</t>
  </si>
  <si>
    <t>#AICSI5</t>
  </si>
  <si>
    <t>#AJCSI5</t>
  </si>
  <si>
    <t>#AACSP6</t>
  </si>
  <si>
    <t>#ABCST6</t>
  </si>
  <si>
    <t>#ACCSI6</t>
  </si>
  <si>
    <t>#ADCSI6</t>
  </si>
  <si>
    <t>#AECSP6</t>
  </si>
  <si>
    <t>#AFCST6</t>
  </si>
  <si>
    <t>#AGCSI6</t>
  </si>
  <si>
    <t>#AHCSI6</t>
  </si>
  <si>
    <t>#AICSI6</t>
  </si>
  <si>
    <t>#AJCSI6</t>
  </si>
  <si>
    <t>#AACSP7</t>
  </si>
  <si>
    <t>#ABCST7</t>
  </si>
  <si>
    <t>#ACCSI7</t>
  </si>
  <si>
    <t>#ADCSI7</t>
  </si>
  <si>
    <t>#AECSP7</t>
  </si>
  <si>
    <t>#AFCST7</t>
  </si>
  <si>
    <t>#AGCSI7</t>
  </si>
  <si>
    <t>#AHCSI7</t>
  </si>
  <si>
    <t>#AICSI7</t>
  </si>
  <si>
    <t>#AJCSI7</t>
  </si>
  <si>
    <t>#AACSP8</t>
  </si>
  <si>
    <t>#ABCST8</t>
  </si>
  <si>
    <t>#ACCSI8</t>
  </si>
  <si>
    <t>#ADCSI8</t>
  </si>
  <si>
    <t>#AECSP8</t>
  </si>
  <si>
    <t>#AFCST8</t>
  </si>
  <si>
    <t>#AGCSI8</t>
  </si>
  <si>
    <t>#AHCSI8</t>
  </si>
  <si>
    <t>#AICSI8</t>
  </si>
  <si>
    <t>#AJCSI8</t>
  </si>
  <si>
    <t>#AACSP9</t>
  </si>
  <si>
    <t>#ABCST9</t>
  </si>
  <si>
    <t>#ACCSI9</t>
  </si>
  <si>
    <t>#ADCSI9</t>
  </si>
  <si>
    <t>#AECSP9</t>
  </si>
  <si>
    <t>#AFCST9</t>
  </si>
  <si>
    <t>#AGCSI9</t>
  </si>
  <si>
    <t>#AHCSI9</t>
  </si>
  <si>
    <t>#AICSI9</t>
  </si>
  <si>
    <t>#AJCSI9</t>
  </si>
  <si>
    <t>#AACSP10</t>
  </si>
  <si>
    <t>#ABCST10</t>
  </si>
  <si>
    <t>#ACCSI10</t>
  </si>
  <si>
    <t>#ADCSI10</t>
  </si>
  <si>
    <t>#AECSP10</t>
  </si>
  <si>
    <t>#AFCST10</t>
  </si>
  <si>
    <t>#AGCSI10</t>
  </si>
  <si>
    <t>#AHCSI10</t>
  </si>
  <si>
    <t>#AICSI10</t>
  </si>
  <si>
    <t>#AJCSI10</t>
  </si>
  <si>
    <t>#AACSP11</t>
  </si>
  <si>
    <t>#ABCST11</t>
  </si>
  <si>
    <t>#ACCSI11</t>
  </si>
  <si>
    <t>#ADCSI11</t>
  </si>
  <si>
    <t>#AECSP11</t>
  </si>
  <si>
    <t>#AFCST11</t>
  </si>
  <si>
    <t>#AGCSI11</t>
  </si>
  <si>
    <t>#AHCSI11</t>
  </si>
  <si>
    <t>#AICSI11</t>
  </si>
  <si>
    <t>#AJCSI11</t>
  </si>
  <si>
    <t>#AACSP12</t>
  </si>
  <si>
    <t>#ABCST12</t>
  </si>
  <si>
    <t>#ACCSI12</t>
  </si>
  <si>
    <t>#ADCSI12</t>
  </si>
  <si>
    <t>#AECSP12</t>
  </si>
  <si>
    <t>#AFCST12</t>
  </si>
  <si>
    <t>#AGCSI12</t>
  </si>
  <si>
    <t>#AHCSI12</t>
  </si>
  <si>
    <t>#AICSI12</t>
  </si>
  <si>
    <t>#AJCSI12</t>
  </si>
  <si>
    <t>#1</t>
  </si>
  <si>
    <t>#2</t>
  </si>
  <si>
    <t>#3</t>
  </si>
  <si>
    <t>#4</t>
  </si>
  <si>
    <t>#5</t>
  </si>
  <si>
    <t>#6</t>
  </si>
  <si>
    <t>#7</t>
  </si>
  <si>
    <t>#8</t>
  </si>
  <si>
    <t>#9</t>
  </si>
  <si>
    <t>#10</t>
  </si>
  <si>
    <t>优先进</t>
  </si>
  <si>
    <t>#SC1</t>
  </si>
  <si>
    <t>#SC2</t>
  </si>
  <si>
    <t>#SC3</t>
  </si>
  <si>
    <t>#SC4</t>
  </si>
  <si>
    <t>#SC5</t>
  </si>
  <si>
    <t>#SC6</t>
  </si>
  <si>
    <t>#SC7</t>
  </si>
  <si>
    <t>#SC8</t>
  </si>
  <si>
    <t>#SC9</t>
  </si>
  <si>
    <t>#SC10</t>
  </si>
  <si>
    <t>优先出</t>
  </si>
  <si>
    <t>#SD1</t>
  </si>
  <si>
    <t>#SD2</t>
  </si>
  <si>
    <t>#SD3</t>
  </si>
  <si>
    <t>#SD4</t>
  </si>
  <si>
    <t>#SD5</t>
  </si>
  <si>
    <t>#SD6</t>
  </si>
  <si>
    <t>#SD7</t>
  </si>
  <si>
    <t>#SD8</t>
  </si>
  <si>
    <t>#SD9</t>
  </si>
  <si>
    <t>#SD10</t>
  </si>
  <si>
    <t>组7</t>
  </si>
  <si>
    <t>组8</t>
  </si>
  <si>
    <t>组9</t>
  </si>
  <si>
    <t>组10</t>
  </si>
  <si>
    <t>组11</t>
  </si>
  <si>
    <t>组12</t>
  </si>
  <si>
    <t>保存期限：1年</t>
  </si>
  <si>
    <t>模具运水状况测试
Mold Water Flow Condition Test</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</si>
  <si>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</si>
  <si>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</si>
  <si>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</si>
  <si>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</si>
  <si>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</si>
  <si>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</si>
  <si>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</si>
  <si>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</si>
  <si>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</si>
  <si>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</si>
  <si>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</si>
  <si>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</si>
  <si>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</si>
  <si>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</si>
  <si>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</si>
  <si>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</si>
  <si>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</si>
  <si>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</si>
  <si>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</si>
  <si>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</si>
  <si>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</si>
  <si>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</si>
  <si>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</si>
  <si>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</si>
  <si>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</si>
  <si>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</si>
  <si>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</si>
  <si>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</si>
  <si>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</si>
  <si>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</si>
  <si>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</si>
  <si>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</si>
  <si>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</si>
  <si>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</si>
  <si>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</si>
  <si>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</si>
  <si>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</si>
  <si>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</si>
  <si>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</si>
  <si>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</si>
  <si>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</si>
  <si>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</si>
  <si>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</si>
  <si>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</si>
  <si>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</si>
  <si>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</si>
  <si>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</si>
  <si>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</si>
  <si>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</si>
  <si>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</si>
  <si>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r>
      <rPr>
        <b/>
        <sz val="10"/>
        <rFont val="微软雅黑"/>
        <charset val="134"/>
      </rPr>
      <t>备注</t>
    </r>
    <r>
      <rPr>
        <b/>
        <sz val="10"/>
        <rFont val="Arial"/>
        <charset val="134"/>
      </rPr>
      <t xml:space="preserve">
Remark</t>
    </r>
  </si>
  <si>
    <r>
      <rPr>
        <sz val="10"/>
        <rFont val="微软雅黑"/>
        <charset val="134"/>
      </rPr>
      <t>保存期限：走模后</t>
    </r>
    <r>
      <rPr>
        <sz val="10"/>
        <rFont val="Arial"/>
        <charset val="134"/>
      </rPr>
      <t>2</t>
    </r>
    <r>
      <rPr>
        <sz val="10"/>
        <rFont val="微软雅黑"/>
        <charset val="134"/>
      </rPr>
      <t>年</t>
    </r>
  </si>
  <si>
    <t>Top</t>
  </si>
  <si>
    <t># 1</t>
  </si>
  <si>
    <t>°C</t>
  </si>
  <si>
    <t># 2</t>
  </si>
  <si>
    <t># 3</t>
  </si>
  <si>
    <t># 4</t>
  </si>
  <si>
    <t># 5</t>
  </si>
  <si>
    <t># 6</t>
  </si>
  <si>
    <t># 7</t>
  </si>
  <si>
    <t># 8</t>
  </si>
  <si>
    <t># 9</t>
  </si>
  <si>
    <r>
      <rPr>
        <b/>
        <sz val="11"/>
        <rFont val="微软雅黑"/>
        <charset val="134"/>
      </rPr>
      <t>备注</t>
    </r>
    <r>
      <rPr>
        <b/>
        <sz val="11"/>
        <rFont val="Arial"/>
        <charset val="134"/>
      </rPr>
      <t xml:space="preserve">
Remark</t>
    </r>
  </si>
  <si>
    <r>
      <rPr>
        <sz val="10"/>
        <rFont val="宋体"/>
        <charset val="134"/>
      </rPr>
      <t>保存期限：走模后</t>
    </r>
    <r>
      <rPr>
        <sz val="10"/>
        <rFont val="Arial"/>
        <charset val="134"/>
      </rPr>
      <t>2</t>
    </r>
    <r>
      <rPr>
        <sz val="10"/>
        <rFont val="宋体"/>
        <charset val="134"/>
      </rPr>
      <t>年</t>
    </r>
  </si>
  <si>
    <t>n/a</t>
  </si>
  <si>
    <r>
      <rPr>
        <sz val="10"/>
        <rFont val="Arial"/>
        <charset val="134"/>
      </rPr>
      <t xml:space="preserve">1 </t>
    </r>
    <r>
      <rPr>
        <sz val="10"/>
        <rFont val="細明體"/>
        <charset val="136"/>
      </rPr>
      <t>→</t>
    </r>
    <r>
      <rPr>
        <sz val="10"/>
        <rFont val="Arial"/>
        <charset val="134"/>
      </rPr>
      <t xml:space="preserve"> 2</t>
    </r>
  </si>
  <si>
    <r>
      <rPr>
        <sz val="10"/>
        <rFont val="Arial"/>
        <charset val="134"/>
      </rPr>
      <t xml:space="preserve">2 </t>
    </r>
    <r>
      <rPr>
        <sz val="10"/>
        <rFont val="細明體"/>
        <charset val="136"/>
      </rPr>
      <t>→</t>
    </r>
    <r>
      <rPr>
        <sz val="10"/>
        <rFont val="Arial"/>
        <charset val="134"/>
      </rPr>
      <t xml:space="preserve"> 3</t>
    </r>
  </si>
  <si>
    <r>
      <rPr>
        <sz val="10"/>
        <rFont val="Arial"/>
        <charset val="134"/>
      </rPr>
      <t xml:space="preserve">3 </t>
    </r>
    <r>
      <rPr>
        <sz val="10"/>
        <rFont val="細明體"/>
        <charset val="136"/>
      </rPr>
      <t>→</t>
    </r>
    <r>
      <rPr>
        <sz val="10"/>
        <rFont val="Arial"/>
        <charset val="134"/>
      </rPr>
      <t xml:space="preserve"> 4</t>
    </r>
  </si>
  <si>
    <r>
      <rPr>
        <sz val="10"/>
        <rFont val="Arial"/>
        <charset val="134"/>
      </rPr>
      <t xml:space="preserve">4 </t>
    </r>
    <r>
      <rPr>
        <sz val="10"/>
        <rFont val="細明體"/>
        <charset val="136"/>
      </rPr>
      <t>→</t>
    </r>
    <r>
      <rPr>
        <sz val="10"/>
        <rFont val="Arial"/>
        <charset val="134"/>
      </rPr>
      <t xml:space="preserve"> 5</t>
    </r>
  </si>
  <si>
    <r>
      <rPr>
        <sz val="10"/>
        <rFont val="Arial"/>
        <charset val="134"/>
      </rPr>
      <t xml:space="preserve">5 </t>
    </r>
    <r>
      <rPr>
        <sz val="10"/>
        <rFont val="細明體"/>
        <charset val="136"/>
      </rPr>
      <t>→</t>
    </r>
    <r>
      <rPr>
        <sz val="10"/>
        <rFont val="Arial"/>
        <charset val="134"/>
      </rPr>
      <t xml:space="preserve"> 6</t>
    </r>
  </si>
  <si>
    <r>
      <rPr>
        <sz val="10"/>
        <rFont val="Arial"/>
        <charset val="134"/>
      </rPr>
      <t xml:space="preserve">6 </t>
    </r>
    <r>
      <rPr>
        <sz val="10"/>
        <rFont val="細明體"/>
        <charset val="136"/>
      </rPr>
      <t>→</t>
    </r>
    <r>
      <rPr>
        <sz val="10"/>
        <rFont val="Arial"/>
        <charset val="134"/>
      </rPr>
      <t xml:space="preserve"> 7</t>
    </r>
  </si>
  <si>
    <r>
      <rPr>
        <sz val="10"/>
        <rFont val="Arial"/>
        <charset val="134"/>
      </rPr>
      <t xml:space="preserve">7 </t>
    </r>
    <r>
      <rPr>
        <sz val="10"/>
        <rFont val="細明體"/>
        <charset val="136"/>
      </rPr>
      <t>→</t>
    </r>
    <r>
      <rPr>
        <sz val="10"/>
        <rFont val="Arial"/>
        <charset val="134"/>
      </rPr>
      <t xml:space="preserve"> 8</t>
    </r>
  </si>
  <si>
    <r>
      <rPr>
        <sz val="10"/>
        <rFont val="Arial"/>
        <charset val="134"/>
      </rPr>
      <t xml:space="preserve">8 </t>
    </r>
    <r>
      <rPr>
        <sz val="10"/>
        <rFont val="細明體"/>
        <charset val="136"/>
      </rPr>
      <t>→</t>
    </r>
    <r>
      <rPr>
        <sz val="10"/>
        <rFont val="Arial"/>
        <charset val="134"/>
      </rPr>
      <t xml:space="preserve"> 9</t>
    </r>
  </si>
  <si>
    <r>
      <rPr>
        <sz val="10"/>
        <rFont val="Arial"/>
        <charset val="134"/>
      </rPr>
      <t xml:space="preserve">9 </t>
    </r>
    <r>
      <rPr>
        <sz val="10"/>
        <rFont val="細明體"/>
        <charset val="136"/>
      </rPr>
      <t>→</t>
    </r>
    <r>
      <rPr>
        <sz val="10"/>
        <rFont val="Arial"/>
        <charset val="134"/>
      </rPr>
      <t xml:space="preserve"> 10</t>
    </r>
  </si>
  <si>
    <r>
      <rPr>
        <sz val="10"/>
        <rFont val="Arial"/>
        <charset val="134"/>
      </rPr>
      <t xml:space="preserve">10 </t>
    </r>
    <r>
      <rPr>
        <sz val="10"/>
        <rFont val="細明體"/>
        <charset val="136"/>
      </rPr>
      <t>→</t>
    </r>
    <r>
      <rPr>
        <sz val="10"/>
        <rFont val="Arial"/>
        <charset val="134"/>
      </rPr>
      <t xml:space="preserve"> 11</t>
    </r>
  </si>
  <si>
    <r>
      <rPr>
        <b/>
        <sz val="12"/>
        <rFont val="微软雅黑"/>
        <charset val="134"/>
      </rPr>
      <t xml:space="preserve">备注
</t>
    </r>
    <r>
      <rPr>
        <b/>
        <sz val="12"/>
        <rFont val="Arial"/>
        <charset val="134"/>
      </rPr>
      <t>Remark</t>
    </r>
  </si>
  <si>
    <r>
      <rPr>
        <sz val="12"/>
        <rFont val="宋体"/>
        <charset val="134"/>
      </rPr>
      <t>保存期限：走模后</t>
    </r>
    <r>
      <rPr>
        <sz val="12"/>
        <rFont val="Arial"/>
        <charset val="134"/>
      </rPr>
      <t>2</t>
    </r>
    <r>
      <rPr>
        <sz val="12"/>
        <rFont val="宋体"/>
        <charset val="134"/>
      </rPr>
      <t>年</t>
    </r>
  </si>
  <si>
    <r>
      <rPr>
        <b/>
        <sz val="10"/>
        <rFont val="微软雅黑"/>
        <charset val="134"/>
      </rPr>
      <t xml:space="preserve">备注
</t>
    </r>
    <r>
      <rPr>
        <b/>
        <sz val="10"/>
        <rFont val="Arial"/>
        <charset val="134"/>
      </rPr>
      <t>Remark</t>
    </r>
  </si>
  <si>
    <r>
      <rPr>
        <sz val="10"/>
        <rFont val="微软雅黑"/>
        <charset val="134"/>
      </rPr>
      <t xml:space="preserve">填充量 </t>
    </r>
    <r>
      <rPr>
        <sz val="10"/>
        <rFont val="Arial"/>
        <charset val="134"/>
      </rPr>
      <t>Filling</t>
    </r>
  </si>
  <si>
    <r>
      <rPr>
        <sz val="10"/>
        <rFont val="宋体"/>
        <charset val="134"/>
      </rPr>
      <t>高速</t>
    </r>
    <r>
      <rPr>
        <sz val="10"/>
        <rFont val="Arial"/>
        <charset val="134"/>
      </rPr>
      <t>(g)</t>
    </r>
  </si>
  <si>
    <r>
      <rPr>
        <sz val="10"/>
        <rFont val="宋体"/>
        <charset val="134"/>
      </rPr>
      <t>中速</t>
    </r>
    <r>
      <rPr>
        <sz val="10"/>
        <rFont val="Arial"/>
        <charset val="134"/>
      </rPr>
      <t>(g)</t>
    </r>
  </si>
  <si>
    <r>
      <rPr>
        <sz val="10"/>
        <rFont val="宋体"/>
        <charset val="134"/>
      </rPr>
      <t>低速</t>
    </r>
    <r>
      <rPr>
        <sz val="10"/>
        <rFont val="Arial"/>
        <charset val="134"/>
      </rPr>
      <t>(g)</t>
    </r>
  </si>
  <si>
    <t>最重的</t>
  </si>
  <si>
    <t>最轻的</t>
  </si>
  <si>
    <t>平均值</t>
  </si>
  <si>
    <t>平衡度</t>
  </si>
  <si>
    <t>速度(mm/s)</t>
  </si>
  <si>
    <t>填充时间(s)</t>
  </si>
  <si>
    <t>各部位压力损失
Pressure loss of each part</t>
  </si>
  <si>
    <t>填充部位
Filling Part</t>
  </si>
  <si>
    <t>压力损失
Pressure Loss</t>
  </si>
  <si>
    <r>
      <rPr>
        <sz val="11"/>
        <rFont val="微软雅黑"/>
        <charset val="134"/>
      </rPr>
      <t>保存期限：走模后</t>
    </r>
    <r>
      <rPr>
        <sz val="11"/>
        <rFont val="Arial"/>
        <charset val="134"/>
      </rPr>
      <t>2</t>
    </r>
    <r>
      <rPr>
        <sz val="11"/>
        <rFont val="微软雅黑"/>
        <charset val="134"/>
      </rPr>
      <t>年</t>
    </r>
  </si>
  <si>
    <t>最优保压设定区间</t>
  </si>
  <si>
    <t>当前锁模力
Curr Clamping Force</t>
  </si>
  <si>
    <t>1</t>
  </si>
  <si>
    <t>2</t>
  </si>
  <si>
    <t>3</t>
  </si>
  <si>
    <t>4</t>
  </si>
  <si>
    <t>5</t>
  </si>
  <si>
    <t>6</t>
  </si>
  <si>
    <t>7</t>
  </si>
  <si>
    <t>8</t>
  </si>
  <si>
    <t>9</t>
  </si>
  <si>
    <t>10</t>
  </si>
  <si>
    <t>备注
Remark</t>
  </si>
  <si>
    <r>
      <rPr>
        <sz val="10"/>
        <rFont val="微软雅黑"/>
        <charset val="134"/>
      </rPr>
      <t xml:space="preserve">优化日期
</t>
    </r>
    <r>
      <rPr>
        <sz val="10"/>
        <rFont val="Arial"/>
        <charset val="134"/>
      </rPr>
      <t>Optimized date</t>
    </r>
  </si>
  <si>
    <t>序号</t>
  </si>
  <si>
    <r>
      <rPr>
        <sz val="10"/>
        <rFont val="微软雅黑"/>
        <charset val="134"/>
      </rPr>
      <t>保压时间</t>
    </r>
    <r>
      <rPr>
        <sz val="10"/>
        <rFont val="Arial"/>
        <charset val="134"/>
      </rPr>
      <t xml:space="preserve"> </t>
    </r>
  </si>
  <si>
    <t>平均重量</t>
  </si>
  <si>
    <r>
      <rPr>
        <sz val="10"/>
        <rFont val="微软雅黑"/>
        <charset val="134"/>
      </rPr>
      <t>备注</t>
    </r>
    <r>
      <rPr>
        <sz val="10"/>
        <rFont val="Arial"/>
        <charset val="134"/>
      </rPr>
      <t xml:space="preserve">
Remark</t>
    </r>
  </si>
  <si>
    <t>表面温度(℃)</t>
  </si>
  <si>
    <t>制品尺寸</t>
  </si>
  <si>
    <t>结果判定</t>
  </si>
  <si>
    <r>
      <rPr>
        <sz val="12"/>
        <rFont val="微软雅黑"/>
        <charset val="134"/>
      </rPr>
      <t>备注</t>
    </r>
    <r>
      <rPr>
        <sz val="12"/>
        <rFont val="Arial"/>
        <charset val="134"/>
      </rPr>
      <t xml:space="preserve">
Remark</t>
    </r>
  </si>
  <si>
    <r>
      <rPr>
        <sz val="10"/>
        <rFont val="微软雅黑"/>
        <charset val="134"/>
      </rPr>
      <t>锁模力</t>
    </r>
    <r>
      <rPr>
        <sz val="10"/>
        <rFont val="Arial"/>
        <charset val="134"/>
      </rPr>
      <t xml:space="preserve"> (Ton)</t>
    </r>
  </si>
  <si>
    <t>平均重量 (g)</t>
  </si>
  <si>
    <r>
      <rPr>
        <sz val="11"/>
        <rFont val="微软雅黑"/>
        <charset val="134"/>
      </rPr>
      <t xml:space="preserve">产品重量 </t>
    </r>
    <r>
      <rPr>
        <sz val="11"/>
        <rFont val="Arial"/>
        <charset val="134"/>
      </rPr>
      <t>Product Weight (g)</t>
    </r>
  </si>
  <si>
    <t>Clmaping force</t>
  </si>
  <si>
    <r>
      <rPr>
        <sz val="11"/>
        <rFont val="宋体"/>
        <charset val="134"/>
      </rPr>
      <t>保存期限：走模后</t>
    </r>
    <r>
      <rPr>
        <sz val="11"/>
        <rFont val="Arial"/>
        <charset val="134"/>
      </rPr>
      <t>2</t>
    </r>
    <r>
      <rPr>
        <sz val="11"/>
        <rFont val="宋体"/>
        <charset val="134"/>
      </rPr>
      <t>年</t>
    </r>
  </si>
</sst>
</file>

<file path=xl/styles.xml><?xml version="1.0" encoding="utf-8"?>
<styleSheet xmlns="http://schemas.openxmlformats.org/spreadsheetml/2006/main">
  <numFmts count="15">
    <numFmt numFmtId="41" formatCode="_ * #,##0_ ;_ * \-#,##0_ ;_ * &quot;-&quot;_ ;_ @_ "/>
    <numFmt numFmtId="42" formatCode="_ &quot;￥&quot;* #,##0_ ;_ &quot;￥&quot;* \-#,##0_ ;_ &quot;￥&quot;* &quot;-&quot;_ ;_ @_ "/>
    <numFmt numFmtId="43" formatCode="_ * #,##0.00_ ;_ * \-#,##0.00_ ;_ * &quot;-&quot;??_ ;_ @_ "/>
    <numFmt numFmtId="176" formatCode="_ \¥* #,##0.00_ ;_ \¥* \-#,##0.00_ ;_ \¥* &quot;-&quot;??_ ;_ @_ "/>
    <numFmt numFmtId="177" formatCode="#0.0&quot; s&quot;"/>
    <numFmt numFmtId="178" formatCode="0.00&quot; s&quot;"/>
    <numFmt numFmtId="179" formatCode="#0.00&quot; s&quot;"/>
    <numFmt numFmtId="180" formatCode="0.00;[Red]0.00"/>
    <numFmt numFmtId="181" formatCode="0;[Red]0"/>
    <numFmt numFmtId="182" formatCode="0_ "/>
    <numFmt numFmtId="183" formatCode="0.000_ "/>
    <numFmt numFmtId="184" formatCode="0.00_ "/>
    <numFmt numFmtId="185" formatCode="0.00_);[Red]\(0.00\)"/>
    <numFmt numFmtId="186" formatCode="0.0_ "/>
    <numFmt numFmtId="187" formatCode="."/>
  </numFmts>
  <fonts count="126">
    <font>
      <sz val="11"/>
      <color theme="1"/>
      <name val="等线"/>
      <charset val="134"/>
      <scheme val="minor"/>
    </font>
    <font>
      <sz val="11"/>
      <name val="Arial"/>
      <charset val="134"/>
    </font>
    <font>
      <u/>
      <sz val="12"/>
      <color indexed="12"/>
      <name val="Times New Roman"/>
      <charset val="134"/>
    </font>
    <font>
      <b/>
      <sz val="20"/>
      <name val="Arial"/>
      <charset val="134"/>
    </font>
    <font>
      <b/>
      <sz val="11"/>
      <name val="Arial"/>
      <charset val="134"/>
    </font>
    <font>
      <b/>
      <sz val="20"/>
      <name val="宋体"/>
      <charset val="134"/>
    </font>
    <font>
      <b/>
      <sz val="11"/>
      <name val="Times New Roman"/>
      <charset val="134"/>
    </font>
    <font>
      <u/>
      <sz val="11"/>
      <name val="Times New Roman"/>
      <charset val="134"/>
    </font>
    <font>
      <u/>
      <sz val="11"/>
      <name val="黑体"/>
      <charset val="134"/>
    </font>
    <font>
      <sz val="11"/>
      <name val="宋体"/>
      <charset val="134"/>
    </font>
    <font>
      <b/>
      <i/>
      <sz val="11"/>
      <name val="Arial"/>
      <charset val="134"/>
    </font>
    <font>
      <i/>
      <sz val="11"/>
      <name val="Arial"/>
      <charset val="134"/>
    </font>
    <font>
      <sz val="12"/>
      <name val="Arial"/>
      <charset val="134"/>
    </font>
    <font>
      <sz val="10"/>
      <name val="Arial"/>
      <charset val="134"/>
    </font>
    <font>
      <b/>
      <sz val="10"/>
      <name val="Arial"/>
      <charset val="134"/>
    </font>
    <font>
      <sz val="10"/>
      <name val="微软雅黑"/>
      <charset val="134"/>
    </font>
    <font>
      <b/>
      <sz val="20"/>
      <name val="黑体"/>
      <charset val="134"/>
    </font>
    <font>
      <sz val="12"/>
      <name val="宋体"/>
      <charset val="134"/>
    </font>
    <font>
      <sz val="10"/>
      <name val="宋体"/>
      <charset val="134"/>
    </font>
    <font>
      <sz val="20"/>
      <name val="黑体"/>
      <charset val="134"/>
    </font>
    <font>
      <b/>
      <sz val="10"/>
      <name val="宋体"/>
      <charset val="134"/>
    </font>
    <font>
      <b/>
      <sz val="20"/>
      <name val="微软雅黑"/>
      <charset val="134"/>
    </font>
    <font>
      <sz val="11"/>
      <name val="微软雅黑"/>
      <charset val="134"/>
    </font>
    <font>
      <b/>
      <sz val="11"/>
      <name val="微软雅黑"/>
      <charset val="134"/>
    </font>
    <font>
      <b/>
      <sz val="12"/>
      <name val="Arial"/>
      <charset val="134"/>
    </font>
    <font>
      <sz val="20"/>
      <name val="Arial"/>
      <charset val="134"/>
    </font>
    <font>
      <sz val="18"/>
      <name val="Arial"/>
      <charset val="134"/>
    </font>
    <font>
      <b/>
      <sz val="14"/>
      <name val="Arial"/>
      <charset val="134"/>
    </font>
    <font>
      <sz val="16"/>
      <name val="Arial"/>
      <charset val="134"/>
    </font>
    <font>
      <sz val="14"/>
      <name val="Arial"/>
      <charset val="134"/>
    </font>
    <font>
      <b/>
      <sz val="8"/>
      <name val="Arial"/>
      <charset val="134"/>
    </font>
    <font>
      <sz val="8"/>
      <name val="Arial"/>
      <charset val="134"/>
    </font>
    <font>
      <sz val="11"/>
      <name val="等线"/>
      <charset val="134"/>
      <scheme val="minor"/>
    </font>
    <font>
      <sz val="11"/>
      <color theme="1"/>
      <name val="微软雅黑"/>
      <charset val="134"/>
    </font>
    <font>
      <b/>
      <sz val="20"/>
      <color theme="1"/>
      <name val="微软雅黑"/>
      <charset val="134"/>
    </font>
    <font>
      <b/>
      <sz val="16"/>
      <color theme="1"/>
      <name val="微软雅黑"/>
      <charset val="134"/>
    </font>
    <font>
      <b/>
      <sz val="11"/>
      <color theme="1"/>
      <name val="微软雅黑"/>
      <charset val="134"/>
    </font>
    <font>
      <sz val="10"/>
      <color indexed="8"/>
      <name val="微软雅黑"/>
      <charset val="134"/>
    </font>
    <font>
      <sz val="10"/>
      <color theme="1"/>
      <name val="微软雅黑"/>
      <charset val="134"/>
    </font>
    <font>
      <b/>
      <sz val="10"/>
      <color theme="1"/>
      <name val="微软雅黑"/>
      <charset val="134"/>
    </font>
    <font>
      <sz val="9"/>
      <color theme="1"/>
      <name val="微软雅黑"/>
      <charset val="134"/>
    </font>
    <font>
      <b/>
      <sz val="10"/>
      <name val="微软雅黑"/>
      <charset val="134"/>
    </font>
    <font>
      <b/>
      <sz val="8"/>
      <color rgb="FFFF0000"/>
      <name val="微软雅黑"/>
      <charset val="134"/>
    </font>
    <font>
      <sz val="9"/>
      <name val="微软雅黑"/>
      <charset val="134"/>
    </font>
    <font>
      <b/>
      <sz val="15"/>
      <name val="宋体"/>
      <charset val="134"/>
    </font>
    <font>
      <b/>
      <sz val="18"/>
      <name val="宋体"/>
      <charset val="134"/>
    </font>
    <font>
      <b/>
      <sz val="15"/>
      <name val="Arial"/>
      <charset val="134"/>
    </font>
    <font>
      <b/>
      <sz val="18"/>
      <name val="Arial"/>
      <charset val="134"/>
    </font>
    <font>
      <b/>
      <sz val="11"/>
      <color theme="1"/>
      <name val="Arial"/>
      <charset val="134"/>
    </font>
    <font>
      <b/>
      <sz val="11"/>
      <color rgb="FF0000FF"/>
      <name val="Arial"/>
      <charset val="134"/>
    </font>
    <font>
      <b/>
      <sz val="12"/>
      <color theme="0"/>
      <name val="Arial"/>
      <charset val="134"/>
    </font>
    <font>
      <sz val="10"/>
      <name val="Times New Roman"/>
      <charset val="134"/>
    </font>
    <font>
      <b/>
      <sz val="10"/>
      <color theme="0"/>
      <name val="Arial"/>
      <charset val="134"/>
    </font>
    <font>
      <sz val="12"/>
      <color theme="0"/>
      <name val="宋体"/>
      <charset val="134"/>
    </font>
    <font>
      <b/>
      <sz val="12"/>
      <color rgb="FF0000FF"/>
      <name val="宋体"/>
      <charset val="134"/>
    </font>
    <font>
      <sz val="12"/>
      <color theme="1"/>
      <name val="Arial"/>
      <charset val="134"/>
    </font>
    <font>
      <sz val="12"/>
      <color theme="1"/>
      <name val="宋体"/>
      <charset val="134"/>
    </font>
    <font>
      <sz val="11"/>
      <color rgb="FFFF0000"/>
      <name val="等线"/>
      <charset val="134"/>
      <scheme val="minor"/>
    </font>
    <font>
      <sz val="10"/>
      <name val="Arial Unicode MS"/>
      <charset val="134"/>
    </font>
    <font>
      <sz val="11"/>
      <name val="Arial Unicode MS"/>
      <charset val="134"/>
    </font>
    <font>
      <sz val="9"/>
      <name val="Arial Unicode MS"/>
      <charset val="134"/>
    </font>
    <font>
      <sz val="16"/>
      <color theme="1"/>
      <name val="宋体"/>
      <charset val="134"/>
    </font>
    <font>
      <sz val="11"/>
      <color theme="1"/>
      <name val="Arial"/>
      <charset val="134"/>
    </font>
    <font>
      <sz val="11"/>
      <color theme="1"/>
      <name val="等线"/>
      <charset val="0"/>
      <scheme val="minor"/>
    </font>
    <font>
      <sz val="11"/>
      <color rgb="FF3F3F76"/>
      <name val="等线"/>
      <charset val="0"/>
      <scheme val="minor"/>
    </font>
    <font>
      <sz val="11"/>
      <color indexed="9"/>
      <name val="宋体"/>
      <charset val="134"/>
    </font>
    <font>
      <sz val="11"/>
      <color indexed="8"/>
      <name val="宋体"/>
      <charset val="134"/>
    </font>
    <font>
      <sz val="11"/>
      <color indexed="8"/>
      <name val="Calibri"/>
      <charset val="134"/>
    </font>
    <font>
      <b/>
      <sz val="11"/>
      <color indexed="52"/>
      <name val="宋体"/>
      <charset val="134"/>
    </font>
    <font>
      <sz val="11"/>
      <color indexed="62"/>
      <name val="Calibri"/>
      <charset val="134"/>
    </font>
    <font>
      <sz val="11"/>
      <color rgb="FF9C0006"/>
      <name val="等线"/>
      <charset val="0"/>
      <scheme val="minor"/>
    </font>
    <font>
      <sz val="11"/>
      <color theme="0"/>
      <name val="等线"/>
      <charset val="0"/>
      <scheme val="minor"/>
    </font>
    <font>
      <u/>
      <sz val="11"/>
      <color rgb="FF800080"/>
      <name val="等线"/>
      <charset val="0"/>
      <scheme val="minor"/>
    </font>
    <font>
      <sz val="16"/>
      <color rgb="FF006100"/>
      <name val="等线"/>
      <charset val="134"/>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b/>
      <sz val="11"/>
      <color indexed="62"/>
      <name val="Calibri"/>
      <charset val="134"/>
    </font>
    <font>
      <b/>
      <sz val="11"/>
      <color indexed="8"/>
      <name val="宋体"/>
      <charset val="134"/>
    </font>
    <font>
      <sz val="11"/>
      <color indexed="60"/>
      <name val="宋体"/>
      <charset val="134"/>
    </font>
    <font>
      <sz val="11"/>
      <color indexed="10"/>
      <name val="宋体"/>
      <charset val="134"/>
    </font>
    <font>
      <sz val="11"/>
      <color indexed="9"/>
      <name val="Calibri"/>
      <charset val="134"/>
    </font>
    <font>
      <sz val="12"/>
      <name val="新細明體"/>
      <charset val="136"/>
    </font>
    <font>
      <sz val="11"/>
      <color indexed="20"/>
      <name val="Calibri"/>
      <charset val="134"/>
    </font>
    <font>
      <b/>
      <sz val="11"/>
      <color indexed="52"/>
      <name val="Calibri"/>
      <charset val="134"/>
    </font>
    <font>
      <b/>
      <sz val="11"/>
      <color indexed="9"/>
      <name val="Calibri"/>
      <charset val="134"/>
    </font>
    <font>
      <i/>
      <sz val="11"/>
      <color indexed="23"/>
      <name val="Calibri"/>
      <charset val="134"/>
    </font>
    <font>
      <sz val="11"/>
      <color indexed="17"/>
      <name val="Calibri"/>
      <charset val="134"/>
    </font>
    <font>
      <b/>
      <sz val="15"/>
      <color indexed="62"/>
      <name val="Calibri"/>
      <charset val="134"/>
    </font>
    <font>
      <b/>
      <sz val="13"/>
      <color indexed="62"/>
      <name val="Calibri"/>
      <charset val="134"/>
    </font>
    <font>
      <b/>
      <sz val="11"/>
      <color indexed="9"/>
      <name val="宋体"/>
      <charset val="134"/>
    </font>
    <font>
      <sz val="11"/>
      <color indexed="52"/>
      <name val="Calibri"/>
      <charset val="134"/>
    </font>
    <font>
      <sz val="11"/>
      <color indexed="60"/>
      <name val="Calibri"/>
      <charset val="134"/>
    </font>
    <font>
      <b/>
      <sz val="18"/>
      <color indexed="49"/>
      <name val="宋体"/>
      <charset val="134"/>
    </font>
    <font>
      <b/>
      <sz val="11"/>
      <color indexed="63"/>
      <name val="Calibri"/>
      <charset val="134"/>
    </font>
    <font>
      <b/>
      <sz val="18"/>
      <color indexed="62"/>
      <name val="Cambria"/>
      <charset val="134"/>
    </font>
    <font>
      <b/>
      <sz val="11"/>
      <color indexed="8"/>
      <name val="Calibri"/>
      <charset val="134"/>
    </font>
    <font>
      <sz val="11"/>
      <color indexed="10"/>
      <name val="Calibri"/>
      <charset val="134"/>
    </font>
    <font>
      <b/>
      <sz val="15"/>
      <color indexed="49"/>
      <name val="宋体"/>
      <charset val="134"/>
    </font>
    <font>
      <b/>
      <sz val="13"/>
      <color indexed="49"/>
      <name val="宋体"/>
      <charset val="134"/>
    </font>
    <font>
      <b/>
      <sz val="11"/>
      <color indexed="49"/>
      <name val="宋体"/>
      <charset val="134"/>
    </font>
    <font>
      <sz val="11"/>
      <color indexed="20"/>
      <name val="宋体"/>
      <charset val="134"/>
    </font>
    <font>
      <sz val="16"/>
      <color rgb="FF9C0006"/>
      <name val="等线"/>
      <charset val="134"/>
      <scheme val="minor"/>
    </font>
    <font>
      <sz val="11"/>
      <color indexed="17"/>
      <name val="宋体"/>
      <charset val="134"/>
    </font>
    <font>
      <i/>
      <sz val="11"/>
      <color indexed="23"/>
      <name val="宋体"/>
      <charset val="134"/>
    </font>
    <font>
      <sz val="11"/>
      <color indexed="52"/>
      <name val="宋体"/>
      <charset val="134"/>
    </font>
    <font>
      <sz val="11"/>
      <color indexed="54"/>
      <name val="宋体"/>
      <charset val="134"/>
    </font>
    <font>
      <sz val="12"/>
      <name val="微软雅黑"/>
      <charset val="134"/>
    </font>
    <font>
      <b/>
      <sz val="12"/>
      <name val="微软雅黑"/>
      <charset val="134"/>
    </font>
    <font>
      <sz val="10"/>
      <name val="細明體"/>
      <charset val="136"/>
    </font>
    <font>
      <vertAlign val="superscript"/>
      <sz val="10"/>
      <color theme="1"/>
      <name val="微软雅黑"/>
      <charset val="134"/>
    </font>
    <font>
      <b/>
      <vertAlign val="superscript"/>
      <sz val="10"/>
      <color theme="1"/>
      <name val="微软雅黑"/>
      <charset val="134"/>
    </font>
    <font>
      <b/>
      <sz val="10"/>
      <name val="Times New Roman"/>
      <charset val="134"/>
    </font>
    <font>
      <sz val="12"/>
      <color theme="1"/>
      <name val="等线"/>
      <charset val="134"/>
    </font>
    <font>
      <b/>
      <sz val="9"/>
      <name val="宋体"/>
      <charset val="134"/>
    </font>
    <font>
      <sz val="9"/>
      <name val="宋体"/>
      <charset val="134"/>
    </font>
  </fonts>
  <fills count="58">
    <fill>
      <patternFill patternType="none"/>
    </fill>
    <fill>
      <patternFill patternType="gray125"/>
    </fill>
    <fill>
      <patternFill patternType="solid">
        <fgColor theme="0"/>
        <bgColor indexed="64"/>
      </patternFill>
    </fill>
    <fill>
      <patternFill patternType="solid">
        <fgColor indexed="22"/>
        <bgColor theme="0" tint="-0.0499893185216834"/>
      </patternFill>
    </fill>
    <fill>
      <patternFill patternType="solid">
        <fgColor indexed="65"/>
        <bgColor theme="0" tint="-0.0499893185216834"/>
      </patternFill>
    </fill>
    <fill>
      <patternFill patternType="solid">
        <fgColor indexed="9"/>
        <bgColor indexed="64"/>
      </patternFill>
    </fill>
    <fill>
      <patternFill patternType="solid">
        <fgColor theme="0" tint="-0.14996795556505"/>
        <bgColor indexed="64"/>
      </patternFill>
    </fill>
    <fill>
      <patternFill patternType="solid">
        <fgColor indexed="22"/>
        <bgColor indexed="64"/>
      </patternFill>
    </fill>
    <fill>
      <patternFill patternType="solid">
        <fgColor theme="9" tint="0.599993896298105"/>
        <bgColor indexed="64"/>
      </patternFill>
    </fill>
    <fill>
      <patternFill patternType="solid">
        <fgColor rgb="FFFFFF00"/>
        <bgColor indexed="64"/>
      </patternFill>
    </fill>
    <fill>
      <patternFill patternType="solid">
        <fgColor theme="0" tint="-0.149998474074526"/>
        <bgColor indexed="64"/>
      </patternFill>
    </fill>
    <fill>
      <patternFill patternType="solid">
        <fgColor theme="0" tint="-0.149937437055574"/>
        <bgColor indexed="64"/>
      </patternFill>
    </fill>
    <fill>
      <patternFill patternType="solid">
        <fgColor theme="0" tint="-0.15"/>
        <bgColor indexed="64"/>
      </patternFill>
    </fill>
    <fill>
      <patternFill patternType="solid">
        <fgColor theme="6" tint="0.799981688894314"/>
        <bgColor indexed="64"/>
      </patternFill>
    </fill>
    <fill>
      <patternFill patternType="solid">
        <fgColor rgb="FFFFCC99"/>
        <bgColor indexed="64"/>
      </patternFill>
    </fill>
    <fill>
      <patternFill patternType="solid">
        <fgColor indexed="10"/>
        <bgColor indexed="64"/>
      </patternFill>
    </fill>
    <fill>
      <patternFill patternType="solid">
        <fgColor indexed="63"/>
        <bgColor indexed="64"/>
      </patternFill>
    </fill>
    <fill>
      <patternFill patternType="solid">
        <fgColor indexed="47"/>
        <bgColor indexed="64"/>
      </patternFill>
    </fill>
    <fill>
      <patternFill patternType="solid">
        <fgColor theme="6" tint="0.599993896298105"/>
        <bgColor indexed="64"/>
      </patternFill>
    </fill>
    <fill>
      <patternFill patternType="solid">
        <fgColor indexed="43"/>
        <bgColor indexed="64"/>
      </patternFill>
    </fill>
    <fill>
      <patternFill patternType="solid">
        <fgColor rgb="FFFFC7CE"/>
        <bgColor indexed="64"/>
      </patternFill>
    </fill>
    <fill>
      <patternFill patternType="solid">
        <fgColor theme="6" tint="0.399975585192419"/>
        <bgColor indexed="64"/>
      </patternFill>
    </fill>
    <fill>
      <patternFill patternType="solid">
        <fgColor rgb="FFC6EFCE"/>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indexed="44"/>
        <bgColor indexed="64"/>
      </patternFill>
    </fill>
    <fill>
      <patternFill patternType="solid">
        <fgColor theme="9" tint="0.799981688894314"/>
        <bgColor indexed="64"/>
      </patternFill>
    </fill>
    <fill>
      <patternFill patternType="solid">
        <fgColor theme="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indexed="29"/>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indexed="26"/>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indexed="49"/>
        <bgColor indexed="64"/>
      </patternFill>
    </fill>
    <fill>
      <patternFill patternType="solid">
        <fgColor theme="9" tint="0.399975585192419"/>
        <bgColor indexed="64"/>
      </patternFill>
    </fill>
    <fill>
      <patternFill patternType="solid">
        <fgColor indexed="27"/>
        <bgColor indexed="64"/>
      </patternFill>
    </fill>
    <fill>
      <patternFill patternType="solid">
        <fgColor indexed="55"/>
        <bgColor indexed="64"/>
      </patternFill>
    </fill>
    <fill>
      <patternFill patternType="solid">
        <fgColor indexed="57"/>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42"/>
        <bgColor indexed="64"/>
      </patternFill>
    </fill>
  </fills>
  <borders count="102">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right style="thin">
        <color auto="1"/>
      </right>
      <top style="thin">
        <color auto="1"/>
      </top>
      <bottom style="medium">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style="medium">
        <color auto="1"/>
      </top>
      <bottom style="thin">
        <color auto="1"/>
      </bottom>
      <diagonal/>
    </border>
    <border>
      <left/>
      <right/>
      <top/>
      <bottom style="thin">
        <color auto="1"/>
      </bottom>
      <diagonal/>
    </border>
    <border>
      <left/>
      <right/>
      <top style="thin">
        <color auto="1"/>
      </top>
      <bottom/>
      <diagonal/>
    </border>
    <border>
      <left/>
      <right style="medium">
        <color auto="1"/>
      </right>
      <top/>
      <bottom style="thin">
        <color auto="1"/>
      </bottom>
      <diagonal/>
    </border>
    <border>
      <left style="medium">
        <color auto="1"/>
      </left>
      <right style="thin">
        <color auto="1"/>
      </right>
      <top style="thin">
        <color auto="1"/>
      </top>
      <bottom/>
      <diagonal/>
    </border>
    <border>
      <left style="thin">
        <color auto="1"/>
      </left>
      <right style="medium">
        <color auto="1"/>
      </right>
      <top/>
      <bottom style="thin">
        <color auto="1"/>
      </bottom>
      <diagonal/>
    </border>
    <border>
      <left style="medium">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medium">
        <color auto="1"/>
      </left>
      <right style="thin">
        <color auto="1"/>
      </right>
      <top/>
      <bottom style="double">
        <color auto="1"/>
      </bottom>
      <diagonal/>
    </border>
    <border>
      <left style="thin">
        <color auto="1"/>
      </left>
      <right style="thin">
        <color auto="1"/>
      </right>
      <top/>
      <bottom style="double">
        <color auto="1"/>
      </bottom>
      <diagonal/>
    </border>
    <border>
      <left style="medium">
        <color auto="1"/>
      </left>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double">
        <color auto="1"/>
      </bottom>
      <diagonal/>
    </border>
    <border>
      <left/>
      <right/>
      <top style="thin">
        <color auto="1"/>
      </top>
      <bottom style="double">
        <color auto="1"/>
      </bottom>
      <diagonal/>
    </border>
    <border>
      <left style="medium">
        <color auto="1"/>
      </left>
      <right/>
      <top style="double">
        <color auto="1"/>
      </top>
      <bottom style="thin">
        <color auto="1"/>
      </bottom>
      <diagonal/>
    </border>
    <border>
      <left/>
      <right/>
      <top style="double">
        <color auto="1"/>
      </top>
      <bottom style="thin">
        <color auto="1"/>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medium">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style="thin">
        <color auto="1"/>
      </left>
      <right/>
      <top/>
      <bottom style="double">
        <color auto="1"/>
      </bottom>
      <diagonal/>
    </border>
    <border>
      <left/>
      <right style="medium">
        <color auto="1"/>
      </right>
      <top style="thin">
        <color auto="1"/>
      </top>
      <bottom style="double">
        <color auto="1"/>
      </bottom>
      <diagonal/>
    </border>
    <border>
      <left style="thin">
        <color auto="1"/>
      </left>
      <right style="medium">
        <color auto="1"/>
      </right>
      <top/>
      <bottom style="double">
        <color auto="1"/>
      </bottom>
      <diagonal/>
    </border>
    <border>
      <left/>
      <right style="medium">
        <color auto="1"/>
      </right>
      <top style="thin">
        <color auto="1"/>
      </top>
      <bottom/>
      <diagonal/>
    </border>
    <border>
      <left/>
      <right style="medium">
        <color auto="1"/>
      </right>
      <top/>
      <bottom style="double">
        <color auto="1"/>
      </bottom>
      <diagonal/>
    </border>
    <border>
      <left/>
      <right style="medium">
        <color auto="1"/>
      </right>
      <top style="double">
        <color auto="1"/>
      </top>
      <bottom style="thin">
        <color auto="1"/>
      </bottom>
      <diagonal/>
    </border>
    <border>
      <left style="thin">
        <color auto="1"/>
      </left>
      <right style="medium">
        <color auto="1"/>
      </right>
      <top style="double">
        <color auto="1"/>
      </top>
      <bottom style="thin">
        <color auto="1"/>
      </bottom>
      <diagonal/>
    </border>
    <border>
      <left style="medium">
        <color auto="1"/>
      </left>
      <right/>
      <top style="thin">
        <color auto="1"/>
      </top>
      <bottom/>
      <diagonal/>
    </border>
    <border>
      <left style="thin">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style="thin">
        <color auto="1"/>
      </right>
      <top/>
      <bottom/>
      <diagonal/>
    </border>
    <border>
      <left style="thin">
        <color auto="1"/>
      </left>
      <right style="medium">
        <color auto="1"/>
      </right>
      <top style="thin">
        <color auto="1"/>
      </top>
      <bottom/>
      <diagonal/>
    </border>
    <border>
      <left style="thin">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rgb="FF7F7F7F"/>
      </left>
      <right style="thin">
        <color rgb="FF7F7F7F"/>
      </right>
      <top style="thin">
        <color rgb="FF7F7F7F"/>
      </top>
      <bottom style="thin">
        <color rgb="FF7F7F7F"/>
      </bottom>
      <diagonal/>
    </border>
    <border>
      <left style="thin">
        <color indexed="23"/>
      </left>
      <right style="thin">
        <color indexed="23"/>
      </right>
      <top style="thin">
        <color indexed="23"/>
      </top>
      <bottom style="thin">
        <color indexed="2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medium">
        <color indexed="49"/>
      </bottom>
      <diagonal/>
    </border>
    <border>
      <left style="thin">
        <color indexed="8"/>
      </left>
      <right style="thin">
        <color indexed="8"/>
      </right>
      <top style="thin">
        <color indexed="8"/>
      </top>
      <bottom style="thin">
        <color indexed="8"/>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style="double">
        <color indexed="8"/>
      </left>
      <right style="double">
        <color indexed="8"/>
      </right>
      <top style="double">
        <color indexed="8"/>
      </top>
      <bottom style="double">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indexed="55"/>
      </left>
      <right style="thin">
        <color indexed="55"/>
      </right>
      <top style="thin">
        <color indexed="55"/>
      </top>
      <bottom style="thin">
        <color indexed="55"/>
      </bottom>
      <diagonal/>
    </border>
  </borders>
  <cellStyleXfs count="160">
    <xf numFmtId="0" fontId="0" fillId="0" borderId="0"/>
    <xf numFmtId="42" fontId="0" fillId="0" borderId="0" applyFont="0" applyFill="0" applyBorder="0" applyAlignment="0" applyProtection="0">
      <alignment vertical="center"/>
    </xf>
    <xf numFmtId="0" fontId="63" fillId="13" borderId="0" applyNumberFormat="0" applyBorder="0" applyAlignment="0" applyProtection="0">
      <alignment vertical="center"/>
    </xf>
    <xf numFmtId="0" fontId="64" fillId="14" borderId="82" applyNumberFormat="0" applyAlignment="0" applyProtection="0">
      <alignment vertical="center"/>
    </xf>
    <xf numFmtId="176" fontId="0" fillId="0" borderId="0" applyFont="0" applyFill="0" applyBorder="0" applyAlignment="0" applyProtection="0">
      <alignment vertical="center"/>
    </xf>
    <xf numFmtId="0" fontId="65" fillId="15" borderId="0" applyNumberFormat="0" applyBorder="0" applyAlignment="0" applyProtection="0">
      <alignment vertical="center"/>
    </xf>
    <xf numFmtId="0" fontId="66" fillId="16" borderId="0" applyNumberFormat="0" applyBorder="0" applyAlignment="0" applyProtection="0">
      <alignment vertical="center"/>
    </xf>
    <xf numFmtId="41" fontId="0" fillId="0" borderId="0" applyFont="0" applyFill="0" applyBorder="0" applyAlignment="0" applyProtection="0">
      <alignment vertical="center"/>
    </xf>
    <xf numFmtId="0" fontId="67" fillId="17" borderId="0" applyNumberFormat="0" applyBorder="0" applyAlignment="0" applyProtection="0"/>
    <xf numFmtId="0" fontId="63" fillId="18" borderId="0" applyNumberFormat="0" applyBorder="0" applyAlignment="0" applyProtection="0">
      <alignment vertical="center"/>
    </xf>
    <xf numFmtId="0" fontId="68" fillId="5" borderId="83" applyNumberFormat="0" applyAlignment="0" applyProtection="0">
      <alignment vertical="center"/>
    </xf>
    <xf numFmtId="0" fontId="69" fillId="19" borderId="83" applyNumberFormat="0" applyAlignment="0" applyProtection="0"/>
    <xf numFmtId="0" fontId="70" fillId="20" borderId="0" applyNumberFormat="0" applyBorder="0" applyAlignment="0" applyProtection="0">
      <alignment vertical="center"/>
    </xf>
    <xf numFmtId="43" fontId="0" fillId="0" borderId="0" applyFont="0" applyFill="0" applyBorder="0" applyAlignment="0" applyProtection="0">
      <alignment vertical="center"/>
    </xf>
    <xf numFmtId="0" fontId="71" fillId="21" borderId="0" applyNumberFormat="0" applyBorder="0" applyAlignment="0" applyProtection="0">
      <alignment vertical="center"/>
    </xf>
    <xf numFmtId="0" fontId="2" fillId="0" borderId="0" applyNumberFormat="0" applyFill="0" applyBorder="0" applyAlignment="0" applyProtection="0">
      <alignment vertical="top"/>
      <protection locked="0"/>
    </xf>
    <xf numFmtId="9" fontId="0" fillId="0" borderId="0" applyFont="0" applyFill="0" applyBorder="0" applyAlignment="0" applyProtection="0">
      <alignment vertical="center"/>
    </xf>
    <xf numFmtId="0" fontId="72" fillId="0" borderId="0" applyNumberFormat="0" applyFill="0" applyBorder="0" applyAlignment="0" applyProtection="0">
      <alignment vertical="center"/>
    </xf>
    <xf numFmtId="0" fontId="73" fillId="22" borderId="0" applyNumberFormat="0" applyBorder="0" applyAlignment="0" applyProtection="0">
      <alignment vertical="center"/>
    </xf>
    <xf numFmtId="0" fontId="0" fillId="23" borderId="84" applyNumberFormat="0" applyFont="0" applyAlignment="0" applyProtection="0">
      <alignment vertical="center"/>
    </xf>
    <xf numFmtId="0" fontId="0" fillId="0" borderId="0">
      <alignment vertical="center"/>
    </xf>
    <xf numFmtId="0" fontId="71" fillId="24" borderId="0" applyNumberFormat="0" applyBorder="0" applyAlignment="0" applyProtection="0">
      <alignment vertical="center"/>
    </xf>
    <xf numFmtId="0" fontId="74"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6"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8" fillId="0" borderId="85" applyNumberFormat="0" applyFill="0" applyAlignment="0" applyProtection="0">
      <alignment vertical="center"/>
    </xf>
    <xf numFmtId="0" fontId="79" fillId="0" borderId="85" applyNumberFormat="0" applyFill="0" applyAlignment="0" applyProtection="0">
      <alignment vertical="center"/>
    </xf>
    <xf numFmtId="0" fontId="71" fillId="25" borderId="0" applyNumberFormat="0" applyBorder="0" applyAlignment="0" applyProtection="0">
      <alignment vertical="center"/>
    </xf>
    <xf numFmtId="0" fontId="74" fillId="0" borderId="86" applyNumberFormat="0" applyFill="0" applyAlignment="0" applyProtection="0">
      <alignment vertical="center"/>
    </xf>
    <xf numFmtId="0" fontId="71" fillId="26" borderId="0" applyNumberFormat="0" applyBorder="0" applyAlignment="0" applyProtection="0">
      <alignment vertical="center"/>
    </xf>
    <xf numFmtId="0" fontId="80" fillId="27" borderId="87" applyNumberFormat="0" applyAlignment="0" applyProtection="0">
      <alignment vertical="center"/>
    </xf>
    <xf numFmtId="0" fontId="81" fillId="27" borderId="82" applyNumberFormat="0" applyAlignment="0" applyProtection="0">
      <alignment vertical="center"/>
    </xf>
    <xf numFmtId="0" fontId="69" fillId="19" borderId="83" applyNumberFormat="0" applyAlignment="0" applyProtection="0"/>
    <xf numFmtId="0" fontId="82" fillId="28" borderId="88" applyNumberFormat="0" applyAlignment="0" applyProtection="0">
      <alignment vertical="center"/>
    </xf>
    <xf numFmtId="0" fontId="66" fillId="7" borderId="0" applyNumberFormat="0" applyBorder="0" applyAlignment="0" applyProtection="0">
      <alignment vertical="center"/>
    </xf>
    <xf numFmtId="0" fontId="83" fillId="0" borderId="89" applyNumberFormat="0" applyFill="0" applyAlignment="0" applyProtection="0">
      <alignment vertical="center"/>
    </xf>
    <xf numFmtId="0" fontId="66" fillId="29" borderId="0" applyNumberFormat="0" applyBorder="0" applyAlignment="0" applyProtection="0">
      <alignment vertical="center"/>
    </xf>
    <xf numFmtId="0" fontId="63" fillId="30" borderId="0" applyNumberFormat="0" applyBorder="0" applyAlignment="0" applyProtection="0">
      <alignment vertical="center"/>
    </xf>
    <xf numFmtId="0" fontId="71" fillId="31" borderId="0" applyNumberFormat="0" applyBorder="0" applyAlignment="0" applyProtection="0">
      <alignment vertical="center"/>
    </xf>
    <xf numFmtId="0" fontId="84" fillId="0" borderId="90" applyNumberFormat="0" applyFill="0" applyAlignment="0" applyProtection="0">
      <alignment vertical="center"/>
    </xf>
    <xf numFmtId="0" fontId="85" fillId="22" borderId="0" applyNumberFormat="0" applyBorder="0" applyAlignment="0" applyProtection="0">
      <alignment vertical="center"/>
    </xf>
    <xf numFmtId="0" fontId="86" fillId="32" borderId="0" applyNumberFormat="0" applyBorder="0" applyAlignment="0" applyProtection="0">
      <alignment vertical="center"/>
    </xf>
    <xf numFmtId="0" fontId="87" fillId="0" borderId="91" applyNumberFormat="0" applyFill="0" applyAlignment="0" applyProtection="0"/>
    <xf numFmtId="0" fontId="63" fillId="33" borderId="0" applyNumberFormat="0" applyBorder="0" applyAlignment="0" applyProtection="0">
      <alignment vertical="center"/>
    </xf>
    <xf numFmtId="0" fontId="71" fillId="34" borderId="0" applyNumberFormat="0" applyBorder="0" applyAlignment="0" applyProtection="0">
      <alignment vertical="center"/>
    </xf>
    <xf numFmtId="0" fontId="66" fillId="16" borderId="0" applyNumberFormat="0" applyBorder="0" applyAlignment="0" applyProtection="0">
      <alignment vertical="center"/>
    </xf>
    <xf numFmtId="0" fontId="63" fillId="35" borderId="0" applyNumberFormat="0" applyBorder="0" applyAlignment="0" applyProtection="0">
      <alignment vertical="center"/>
    </xf>
    <xf numFmtId="0" fontId="67" fillId="36" borderId="0" applyNumberFormat="0" applyBorder="0" applyAlignment="0" applyProtection="0"/>
    <xf numFmtId="0" fontId="63" fillId="37" borderId="0" applyNumberFormat="0" applyBorder="0" applyAlignment="0" applyProtection="0">
      <alignment vertical="center"/>
    </xf>
    <xf numFmtId="0" fontId="63" fillId="38" borderId="0" applyNumberFormat="0" applyBorder="0" applyAlignment="0" applyProtection="0">
      <alignment vertical="center"/>
    </xf>
    <xf numFmtId="0" fontId="88" fillId="5" borderId="92" applyNumberFormat="0" applyAlignment="0" applyProtection="0">
      <alignment vertical="center"/>
    </xf>
    <xf numFmtId="0" fontId="67" fillId="39" borderId="0" applyNumberFormat="0" applyBorder="0" applyAlignment="0" applyProtection="0"/>
    <xf numFmtId="0" fontId="63" fillId="40" borderId="0" applyNumberFormat="0" applyBorder="0" applyAlignment="0" applyProtection="0">
      <alignment vertical="center"/>
    </xf>
    <xf numFmtId="0" fontId="71" fillId="41" borderId="0" applyNumberFormat="0" applyBorder="0" applyAlignment="0" applyProtection="0">
      <alignment vertical="center"/>
    </xf>
    <xf numFmtId="0" fontId="71" fillId="42" borderId="0" applyNumberFormat="0" applyBorder="0" applyAlignment="0" applyProtection="0">
      <alignment vertical="center"/>
    </xf>
    <xf numFmtId="0" fontId="63" fillId="43" borderId="0" applyNumberFormat="0" applyBorder="0" applyAlignment="0" applyProtection="0">
      <alignment vertical="center"/>
    </xf>
    <xf numFmtId="0" fontId="63" fillId="44" borderId="0" applyNumberFormat="0" applyBorder="0" applyAlignment="0" applyProtection="0">
      <alignment vertical="center"/>
    </xf>
    <xf numFmtId="0" fontId="71" fillId="45" borderId="0" applyNumberFormat="0" applyBorder="0" applyAlignment="0" applyProtection="0">
      <alignment vertical="center"/>
    </xf>
    <xf numFmtId="0" fontId="63" fillId="46" borderId="0" applyNumberFormat="0" applyBorder="0" applyAlignment="0" applyProtection="0">
      <alignment vertical="center"/>
    </xf>
    <xf numFmtId="0" fontId="65" fillId="17" borderId="0" applyNumberFormat="0" applyBorder="0" applyAlignment="0" applyProtection="0">
      <alignment vertical="center"/>
    </xf>
    <xf numFmtId="0" fontId="71" fillId="47" borderId="0" applyNumberFormat="0" applyBorder="0" applyAlignment="0" applyProtection="0">
      <alignment vertical="center"/>
    </xf>
    <xf numFmtId="0" fontId="71" fillId="48" borderId="0" applyNumberFormat="0" applyBorder="0" applyAlignment="0" applyProtection="0">
      <alignment vertical="center"/>
    </xf>
    <xf numFmtId="0" fontId="65" fillId="49" borderId="0" applyNumberFormat="0" applyBorder="0" applyAlignment="0" applyProtection="0">
      <alignment vertical="center"/>
    </xf>
    <xf numFmtId="0" fontId="89" fillId="19" borderId="0" applyNumberFormat="0" applyBorder="0" applyAlignment="0" applyProtection="0">
      <alignment vertical="center"/>
    </xf>
    <xf numFmtId="0" fontId="63" fillId="8" borderId="0" applyNumberFormat="0" applyBorder="0" applyAlignment="0" applyProtection="0">
      <alignment vertical="center"/>
    </xf>
    <xf numFmtId="0" fontId="71" fillId="50" borderId="0" applyNumberFormat="0" applyBorder="0" applyAlignment="0" applyProtection="0">
      <alignment vertical="center"/>
    </xf>
    <xf numFmtId="0" fontId="67" fillId="51" borderId="0" applyNumberFormat="0" applyBorder="0" applyAlignment="0" applyProtection="0"/>
    <xf numFmtId="0" fontId="67" fillId="39" borderId="0" applyNumberFormat="0" applyBorder="0" applyAlignment="0" applyProtection="0"/>
    <xf numFmtId="0" fontId="66" fillId="39" borderId="0" applyNumberFormat="0" applyBorder="0" applyAlignment="0" applyProtection="0">
      <alignment vertical="center"/>
    </xf>
    <xf numFmtId="0" fontId="67" fillId="17" borderId="0" applyNumberFormat="0" applyBorder="0" applyAlignment="0" applyProtection="0"/>
    <xf numFmtId="0" fontId="66" fillId="7" borderId="0" applyNumberFormat="0" applyBorder="0" applyAlignment="0" applyProtection="0">
      <alignment vertical="center"/>
    </xf>
    <xf numFmtId="0" fontId="65" fillId="49" borderId="0" applyNumberFormat="0" applyBorder="0" applyAlignment="0" applyProtection="0">
      <alignment vertical="center"/>
    </xf>
    <xf numFmtId="0" fontId="66" fillId="51" borderId="0" applyNumberFormat="0" applyBorder="0" applyAlignment="0" applyProtection="0">
      <alignment vertical="center"/>
    </xf>
    <xf numFmtId="0" fontId="67" fillId="7" borderId="0" applyNumberFormat="0" applyBorder="0" applyAlignment="0" applyProtection="0"/>
    <xf numFmtId="0" fontId="67" fillId="36" borderId="0" applyNumberFormat="0" applyBorder="0" applyAlignment="0" applyProtection="0"/>
    <xf numFmtId="0" fontId="67" fillId="19" borderId="0" applyNumberFormat="0" applyBorder="0" applyAlignment="0" applyProtection="0"/>
    <xf numFmtId="0" fontId="67" fillId="7" borderId="0" applyNumberFormat="0" applyBorder="0" applyAlignment="0" applyProtection="0"/>
    <xf numFmtId="0" fontId="90" fillId="0" borderId="0" applyNumberFormat="0" applyFill="0" applyBorder="0" applyAlignment="0" applyProtection="0">
      <alignment vertical="center"/>
    </xf>
    <xf numFmtId="0" fontId="67" fillId="29" borderId="0" applyNumberFormat="0" applyBorder="0" applyAlignment="0" applyProtection="0"/>
    <xf numFmtId="0" fontId="67" fillId="19" borderId="0" applyNumberFormat="0" applyBorder="0" applyAlignment="0" applyProtection="0"/>
    <xf numFmtId="0" fontId="91" fillId="49" borderId="0" applyNumberFormat="0" applyBorder="0" applyAlignment="0" applyProtection="0"/>
    <xf numFmtId="0" fontId="66" fillId="7" borderId="0" applyNumberFormat="0" applyBorder="0" applyAlignment="0" applyProtection="0">
      <alignment vertical="center"/>
    </xf>
    <xf numFmtId="0" fontId="66" fillId="36" borderId="0" applyNumberFormat="0" applyBorder="0" applyAlignment="0" applyProtection="0">
      <alignment vertical="center"/>
    </xf>
    <xf numFmtId="0" fontId="66" fillId="19" borderId="0" applyNumberFormat="0" applyBorder="0" applyAlignment="0" applyProtection="0">
      <alignment vertical="center"/>
    </xf>
    <xf numFmtId="0" fontId="66" fillId="7" borderId="0" applyNumberFormat="0" applyBorder="0" applyAlignment="0" applyProtection="0">
      <alignment vertical="center"/>
    </xf>
    <xf numFmtId="0" fontId="66" fillId="17" borderId="0" applyNumberFormat="0" applyBorder="0" applyAlignment="0" applyProtection="0">
      <alignment vertical="center"/>
    </xf>
    <xf numFmtId="0" fontId="91" fillId="49" borderId="0" applyNumberFormat="0" applyBorder="0" applyAlignment="0" applyProtection="0"/>
    <xf numFmtId="0" fontId="91" fillId="36" borderId="0" applyNumberFormat="0" applyBorder="0" applyAlignment="0" applyProtection="0"/>
    <xf numFmtId="0" fontId="91" fillId="19" borderId="0" applyNumberFormat="0" applyBorder="0" applyAlignment="0" applyProtection="0"/>
    <xf numFmtId="0" fontId="92" fillId="0" borderId="0"/>
    <xf numFmtId="0" fontId="91" fillId="7" borderId="0" applyNumberFormat="0" applyBorder="0" applyAlignment="0" applyProtection="0"/>
    <xf numFmtId="0" fontId="91" fillId="49" borderId="0" applyNumberFormat="0" applyBorder="0" applyAlignment="0" applyProtection="0"/>
    <xf numFmtId="0" fontId="91" fillId="36" borderId="0" applyNumberFormat="0" applyBorder="0" applyAlignment="0" applyProtection="0"/>
    <xf numFmtId="0" fontId="65" fillId="49" borderId="0" applyNumberFormat="0" applyBorder="0" applyAlignment="0" applyProtection="0">
      <alignment vertical="center"/>
    </xf>
    <xf numFmtId="176" fontId="0" fillId="0" borderId="0" applyFont="0" applyFill="0" applyBorder="0" applyAlignment="0" applyProtection="0">
      <alignment vertical="center"/>
    </xf>
    <xf numFmtId="0" fontId="65" fillId="36" borderId="0" applyNumberFormat="0" applyBorder="0" applyAlignment="0" applyProtection="0">
      <alignment vertical="center"/>
    </xf>
    <xf numFmtId="0" fontId="65" fillId="19" borderId="0" applyNumberFormat="0" applyBorder="0" applyAlignment="0" applyProtection="0">
      <alignment vertical="center"/>
    </xf>
    <xf numFmtId="0" fontId="65" fillId="52" borderId="0" applyNumberFormat="0" applyBorder="0" applyAlignment="0" applyProtection="0">
      <alignment vertical="center"/>
    </xf>
    <xf numFmtId="0" fontId="65" fillId="49" borderId="0" applyNumberFormat="0" applyBorder="0" applyAlignment="0" applyProtection="0">
      <alignment vertical="center"/>
    </xf>
    <xf numFmtId="0" fontId="91" fillId="49" borderId="0" applyNumberFormat="0" applyBorder="0" applyAlignment="0" applyProtection="0"/>
    <xf numFmtId="0" fontId="91" fillId="15" borderId="0" applyNumberFormat="0" applyBorder="0" applyAlignment="0" applyProtection="0"/>
    <xf numFmtId="0" fontId="91" fillId="53" borderId="0" applyNumberFormat="0" applyBorder="0" applyAlignment="0" applyProtection="0"/>
    <xf numFmtId="0" fontId="91" fillId="54" borderId="0" applyNumberFormat="0" applyBorder="0" applyAlignment="0" applyProtection="0"/>
    <xf numFmtId="0" fontId="91" fillId="55" borderId="0" applyNumberFormat="0" applyBorder="0" applyAlignment="0" applyProtection="0"/>
    <xf numFmtId="0" fontId="93" fillId="56" borderId="0" applyNumberFormat="0" applyBorder="0" applyAlignment="0" applyProtection="0"/>
    <xf numFmtId="0" fontId="94" fillId="5" borderId="83" applyNumberFormat="0" applyAlignment="0" applyProtection="0"/>
    <xf numFmtId="0" fontId="94" fillId="5" borderId="83" applyNumberFormat="0" applyAlignment="0" applyProtection="0"/>
    <xf numFmtId="0" fontId="95" fillId="52" borderId="93" applyNumberFormat="0" applyAlignment="0" applyProtection="0"/>
    <xf numFmtId="0" fontId="96" fillId="0" borderId="0" applyNumberFormat="0" applyFill="0" applyBorder="0" applyAlignment="0" applyProtection="0"/>
    <xf numFmtId="0" fontId="97" fillId="57" borderId="0" applyNumberFormat="0" applyBorder="0" applyAlignment="0" applyProtection="0"/>
    <xf numFmtId="0" fontId="98" fillId="0" borderId="94" applyNumberFormat="0" applyFill="0" applyAlignment="0" applyProtection="0"/>
    <xf numFmtId="0" fontId="99" fillId="0" borderId="95" applyNumberFormat="0" applyFill="0" applyAlignment="0" applyProtection="0"/>
    <xf numFmtId="0" fontId="87" fillId="0" borderId="0" applyNumberFormat="0" applyFill="0" applyBorder="0" applyAlignment="0" applyProtection="0"/>
    <xf numFmtId="0" fontId="100" fillId="52" borderId="96" applyNumberFormat="0" applyAlignment="0" applyProtection="0">
      <alignment vertical="center"/>
    </xf>
    <xf numFmtId="0" fontId="101" fillId="0" borderId="97" applyNumberFormat="0" applyFill="0" applyAlignment="0" applyProtection="0"/>
    <xf numFmtId="0" fontId="102" fillId="19" borderId="0" applyNumberFormat="0" applyBorder="0" applyAlignment="0" applyProtection="0"/>
    <xf numFmtId="0" fontId="13" fillId="0" borderId="0"/>
    <xf numFmtId="0" fontId="12" fillId="0" borderId="0"/>
    <xf numFmtId="0" fontId="51" fillId="39" borderId="98" applyNumberFormat="0" applyFont="0" applyAlignment="0" applyProtection="0"/>
    <xf numFmtId="0" fontId="103" fillId="0" borderId="0" applyNumberFormat="0" applyFill="0" applyBorder="0" applyAlignment="0" applyProtection="0">
      <alignment vertical="center"/>
    </xf>
    <xf numFmtId="0" fontId="51" fillId="39" borderId="98" applyNumberFormat="0" applyFont="0" applyAlignment="0" applyProtection="0"/>
    <xf numFmtId="0" fontId="104" fillId="5" borderId="99" applyNumberFormat="0" applyAlignment="0" applyProtection="0"/>
    <xf numFmtId="0" fontId="104" fillId="5" borderId="99" applyNumberFormat="0" applyAlignment="0" applyProtection="0"/>
    <xf numFmtId="0" fontId="17" fillId="0" borderId="0">
      <alignment vertical="center"/>
    </xf>
    <xf numFmtId="0" fontId="105" fillId="0" borderId="0" applyNumberFormat="0" applyFill="0" applyBorder="0" applyAlignment="0" applyProtection="0"/>
    <xf numFmtId="0" fontId="106" fillId="0" borderId="100" applyNumberFormat="0" applyFill="0" applyAlignment="0" applyProtection="0"/>
    <xf numFmtId="0" fontId="106" fillId="0" borderId="100" applyNumberFormat="0" applyFill="0" applyAlignment="0" applyProtection="0"/>
    <xf numFmtId="0" fontId="107" fillId="0" borderId="0" applyNumberFormat="0" applyFill="0" applyBorder="0" applyAlignment="0" applyProtection="0"/>
    <xf numFmtId="0" fontId="108" fillId="0" borderId="94" applyNumberFormat="0" applyFill="0" applyAlignment="0" applyProtection="0">
      <alignment vertical="center"/>
    </xf>
    <xf numFmtId="0" fontId="109" fillId="0" borderId="95" applyNumberFormat="0" applyFill="0" applyAlignment="0" applyProtection="0">
      <alignment vertical="center"/>
    </xf>
    <xf numFmtId="0" fontId="110" fillId="0" borderId="91" applyNumberFormat="0" applyFill="0" applyAlignment="0" applyProtection="0">
      <alignment vertical="center"/>
    </xf>
    <xf numFmtId="0" fontId="110" fillId="0" borderId="0" applyNumberFormat="0" applyFill="0" applyBorder="0" applyAlignment="0" applyProtection="0">
      <alignment vertical="center"/>
    </xf>
    <xf numFmtId="0" fontId="111" fillId="56" borderId="0" applyNumberFormat="0" applyBorder="0" applyAlignment="0" applyProtection="0">
      <alignment vertical="center"/>
    </xf>
    <xf numFmtId="0" fontId="112" fillId="20" borderId="0" applyNumberFormat="0" applyBorder="0" applyAlignment="0" applyProtection="0">
      <alignment vertical="center"/>
    </xf>
    <xf numFmtId="0" fontId="51" fillId="0" borderId="0"/>
    <xf numFmtId="0" fontId="0" fillId="0" borderId="0">
      <alignment vertical="center"/>
    </xf>
    <xf numFmtId="0" fontId="17" fillId="0" borderId="0"/>
    <xf numFmtId="0" fontId="17" fillId="39" borderId="101" applyNumberFormat="0" applyFont="0" applyAlignment="0" applyProtection="0">
      <alignment vertical="center"/>
    </xf>
    <xf numFmtId="0" fontId="0" fillId="0" borderId="0">
      <alignment vertical="center"/>
    </xf>
    <xf numFmtId="0" fontId="17" fillId="39" borderId="101" applyNumberFormat="0" applyFont="0" applyAlignment="0" applyProtection="0">
      <alignment vertical="center"/>
    </xf>
    <xf numFmtId="0" fontId="0" fillId="0" borderId="0">
      <alignment vertical="center"/>
    </xf>
    <xf numFmtId="0" fontId="17" fillId="0" borderId="0"/>
    <xf numFmtId="0" fontId="1" fillId="0" borderId="0"/>
    <xf numFmtId="0" fontId="51" fillId="0" borderId="0"/>
    <xf numFmtId="0" fontId="17" fillId="0" borderId="0">
      <alignment vertical="center"/>
    </xf>
    <xf numFmtId="0" fontId="17" fillId="0" borderId="0">
      <alignment vertical="center"/>
    </xf>
    <xf numFmtId="0" fontId="113" fillId="57" borderId="0" applyNumberFormat="0" applyBorder="0" applyAlignment="0" applyProtection="0">
      <alignment vertical="center"/>
    </xf>
    <xf numFmtId="0" fontId="88" fillId="0" borderId="100" applyNumberFormat="0" applyFill="0" applyAlignment="0" applyProtection="0">
      <alignment vertical="center"/>
    </xf>
    <xf numFmtId="0" fontId="88" fillId="0" borderId="100" applyNumberFormat="0" applyFill="0" applyAlignment="0" applyProtection="0">
      <alignment vertical="center"/>
    </xf>
    <xf numFmtId="0" fontId="68" fillId="5" borderId="83" applyNumberFormat="0" applyAlignment="0" applyProtection="0">
      <alignment vertical="center"/>
    </xf>
    <xf numFmtId="0" fontId="13" fillId="0" borderId="0"/>
    <xf numFmtId="0" fontId="114" fillId="0" borderId="0" applyNumberFormat="0" applyFill="0" applyBorder="0" applyAlignment="0" applyProtection="0">
      <alignment vertical="center"/>
    </xf>
    <xf numFmtId="0" fontId="115" fillId="0" borderId="97" applyNumberFormat="0" applyFill="0" applyAlignment="0" applyProtection="0">
      <alignment vertical="center"/>
    </xf>
    <xf numFmtId="0" fontId="88" fillId="5" borderId="92" applyNumberFormat="0" applyAlignment="0" applyProtection="0">
      <alignment vertical="center"/>
    </xf>
    <xf numFmtId="0" fontId="116" fillId="17" borderId="83" applyNumberFormat="0" applyAlignment="0" applyProtection="0">
      <alignment vertical="center"/>
    </xf>
    <xf numFmtId="0" fontId="116" fillId="17" borderId="83" applyNumberFormat="0" applyAlignment="0" applyProtection="0">
      <alignment vertical="center"/>
    </xf>
    <xf numFmtId="0" fontId="65" fillId="53" borderId="0" applyNumberFormat="0" applyBorder="0" applyAlignment="0" applyProtection="0">
      <alignment vertical="center"/>
    </xf>
    <xf numFmtId="0" fontId="65" fillId="54" borderId="0" applyNumberFormat="0" applyBorder="0" applyAlignment="0" applyProtection="0">
      <alignment vertical="center"/>
    </xf>
    <xf numFmtId="0" fontId="65" fillId="55" borderId="0" applyNumberFormat="0" applyBorder="0" applyAlignment="0" applyProtection="0">
      <alignment vertical="center"/>
    </xf>
  </cellStyleXfs>
  <cellXfs count="1067">
    <xf numFmtId="0" fontId="0" fillId="0" borderId="0" xfId="0"/>
    <xf numFmtId="0" fontId="1" fillId="0" borderId="0" xfId="143" applyFont="1" applyFill="1" applyProtection="1">
      <protection hidden="1"/>
    </xf>
    <xf numFmtId="0" fontId="1" fillId="0" borderId="0" xfId="143" applyFont="1" applyFill="1" applyAlignment="1" applyProtection="1">
      <alignment horizontal="center"/>
      <protection hidden="1"/>
    </xf>
    <xf numFmtId="0" fontId="2" fillId="2" borderId="0" xfId="15" applyFill="1" applyAlignment="1" applyProtection="1">
      <alignment horizontal="right" vertical="center"/>
      <protection locked="0"/>
    </xf>
    <xf numFmtId="0" fontId="3" fillId="0" borderId="0" xfId="143" applyFont="1" applyFill="1" applyAlignment="1" applyProtection="1">
      <alignment horizontal="center" vertical="center" wrapText="1"/>
      <protection hidden="1"/>
    </xf>
    <xf numFmtId="0" fontId="4" fillId="3" borderId="1" xfId="143" applyFont="1" applyFill="1" applyBorder="1" applyProtection="1">
      <protection hidden="1"/>
    </xf>
    <xf numFmtId="0" fontId="1" fillId="3" borderId="2" xfId="143" applyFont="1" applyFill="1" applyBorder="1" applyAlignment="1" applyProtection="1">
      <alignment horizontal="center"/>
      <protection hidden="1"/>
    </xf>
    <xf numFmtId="0" fontId="5" fillId="3" borderId="2" xfId="143" applyFont="1" applyFill="1" applyBorder="1" applyAlignment="1" applyProtection="1">
      <alignment horizontal="right"/>
      <protection hidden="1"/>
    </xf>
    <xf numFmtId="0" fontId="1" fillId="3" borderId="2" xfId="143" applyFont="1" applyFill="1" applyBorder="1" applyProtection="1">
      <protection hidden="1"/>
    </xf>
    <xf numFmtId="0" fontId="1" fillId="3" borderId="3" xfId="143" applyFont="1" applyFill="1" applyBorder="1" applyAlignment="1" applyProtection="1">
      <alignment horizontal="center"/>
      <protection hidden="1"/>
    </xf>
    <xf numFmtId="0" fontId="1" fillId="3" borderId="4" xfId="118" applyNumberFormat="1" applyFont="1" applyFill="1" applyBorder="1" applyAlignment="1" applyProtection="1">
      <alignment horizontal="right"/>
      <protection hidden="1"/>
    </xf>
    <xf numFmtId="177" fontId="4" fillId="4" borderId="5" xfId="118" applyNumberFormat="1" applyFont="1" applyFill="1" applyBorder="1" applyAlignment="1" applyProtection="1">
      <alignment horizontal="center"/>
      <protection hidden="1"/>
    </xf>
    <xf numFmtId="49" fontId="4" fillId="3" borderId="0" xfId="118" applyNumberFormat="1" applyFont="1" applyFill="1" applyBorder="1" applyAlignment="1" applyProtection="1">
      <alignment horizontal="left"/>
      <protection hidden="1"/>
    </xf>
    <xf numFmtId="0" fontId="1" fillId="3" borderId="0" xfId="143" applyFont="1" applyFill="1" applyBorder="1" applyProtection="1">
      <protection hidden="1"/>
    </xf>
    <xf numFmtId="0" fontId="1" fillId="3" borderId="0" xfId="143" applyFont="1" applyFill="1" applyBorder="1" applyAlignment="1" applyProtection="1">
      <alignment horizontal="right"/>
      <protection hidden="1"/>
    </xf>
    <xf numFmtId="178" fontId="4" fillId="0" borderId="5" xfId="118" applyNumberFormat="1" applyFont="1" applyFill="1" applyBorder="1" applyAlignment="1" applyProtection="1">
      <alignment horizontal="center"/>
      <protection hidden="1"/>
    </xf>
    <xf numFmtId="177" fontId="6" fillId="3" borderId="6" xfId="118" applyNumberFormat="1" applyFont="1" applyFill="1" applyBorder="1" applyAlignment="1" applyProtection="1">
      <alignment horizontal="center"/>
      <protection hidden="1"/>
    </xf>
    <xf numFmtId="0" fontId="1" fillId="3" borderId="4" xfId="143" applyNumberFormat="1" applyFont="1" applyFill="1" applyBorder="1" applyAlignment="1" applyProtection="1">
      <alignment horizontal="right"/>
      <protection hidden="1"/>
    </xf>
    <xf numFmtId="0" fontId="1" fillId="3" borderId="0" xfId="143" applyNumberFormat="1" applyFont="1" applyFill="1" applyBorder="1" applyAlignment="1" applyProtection="1">
      <alignment horizontal="right"/>
      <protection hidden="1"/>
    </xf>
    <xf numFmtId="0" fontId="7" fillId="3" borderId="0" xfId="15" applyFont="1" applyFill="1" applyBorder="1" applyAlignment="1" applyProtection="1">
      <alignment horizontal="center"/>
      <protection locked="0" hidden="1"/>
    </xf>
    <xf numFmtId="0" fontId="8" fillId="3" borderId="0" xfId="15" applyFont="1" applyFill="1" applyBorder="1" applyAlignment="1" applyProtection="1">
      <alignment horizontal="center"/>
      <protection locked="0" hidden="1"/>
    </xf>
    <xf numFmtId="0" fontId="9" fillId="3" borderId="0" xfId="143" applyFont="1" applyFill="1" applyBorder="1" applyAlignment="1" applyProtection="1">
      <alignment horizontal="left"/>
      <protection hidden="1"/>
    </xf>
    <xf numFmtId="0" fontId="1" fillId="3" borderId="0" xfId="143" applyFont="1" applyFill="1" applyBorder="1" applyAlignment="1" applyProtection="1">
      <alignment horizontal="center"/>
      <protection hidden="1"/>
    </xf>
    <xf numFmtId="0" fontId="1" fillId="3" borderId="6" xfId="143" applyFont="1" applyFill="1" applyBorder="1" applyAlignment="1" applyProtection="1">
      <alignment horizontal="center"/>
      <protection hidden="1"/>
    </xf>
    <xf numFmtId="178" fontId="10" fillId="0" borderId="5" xfId="143" applyNumberFormat="1" applyFont="1" applyFill="1" applyBorder="1" applyAlignment="1" applyProtection="1">
      <alignment horizontal="center"/>
      <protection hidden="1"/>
    </xf>
    <xf numFmtId="0" fontId="9" fillId="3" borderId="0" xfId="143" applyFont="1" applyFill="1" applyBorder="1" applyAlignment="1" applyProtection="1">
      <alignment horizontal="center"/>
      <protection hidden="1"/>
    </xf>
    <xf numFmtId="0" fontId="11" fillId="3" borderId="6" xfId="143" applyFont="1" applyFill="1" applyBorder="1" applyAlignment="1" applyProtection="1">
      <alignment horizontal="center"/>
      <protection hidden="1"/>
    </xf>
    <xf numFmtId="0" fontId="4" fillId="3" borderId="0" xfId="143" applyFont="1" applyFill="1" applyBorder="1" applyAlignment="1" applyProtection="1">
      <alignment horizontal="center"/>
      <protection hidden="1"/>
    </xf>
    <xf numFmtId="0" fontId="1" fillId="3" borderId="4" xfId="143" applyFont="1" applyFill="1" applyBorder="1" applyProtection="1">
      <protection hidden="1"/>
    </xf>
    <xf numFmtId="0" fontId="1" fillId="3" borderId="4" xfId="143" applyFont="1" applyFill="1" applyBorder="1" applyAlignment="1" applyProtection="1">
      <alignment horizontal="right"/>
      <protection hidden="1"/>
    </xf>
    <xf numFmtId="179" fontId="4" fillId="0" borderId="5" xfId="143" applyNumberFormat="1" applyFont="1" applyFill="1" applyBorder="1" applyAlignment="1" applyProtection="1">
      <alignment horizontal="center"/>
      <protection hidden="1"/>
    </xf>
    <xf numFmtId="0" fontId="11" fillId="3" borderId="0" xfId="143" applyFont="1" applyFill="1" applyBorder="1" applyAlignment="1" applyProtection="1">
      <alignment horizontal="center"/>
      <protection hidden="1"/>
    </xf>
    <xf numFmtId="0" fontId="9" fillId="3" borderId="7" xfId="143" applyFont="1" applyFill="1" applyBorder="1" applyProtection="1">
      <protection hidden="1"/>
    </xf>
    <xf numFmtId="177" fontId="1" fillId="3" borderId="8" xfId="143" applyNumberFormat="1" applyFont="1" applyFill="1" applyBorder="1" applyProtection="1">
      <protection hidden="1"/>
    </xf>
    <xf numFmtId="0" fontId="11" fillId="3" borderId="8" xfId="143" applyFont="1" applyFill="1" applyBorder="1" applyAlignment="1" applyProtection="1">
      <alignment horizontal="center"/>
      <protection hidden="1"/>
    </xf>
    <xf numFmtId="0" fontId="1" fillId="3" borderId="8" xfId="143" applyFont="1" applyFill="1" applyBorder="1" applyProtection="1">
      <protection hidden="1"/>
    </xf>
    <xf numFmtId="0" fontId="1" fillId="3" borderId="8" xfId="143" applyFont="1" applyFill="1" applyBorder="1" applyAlignment="1" applyProtection="1">
      <alignment horizontal="center"/>
      <protection hidden="1"/>
    </xf>
    <xf numFmtId="0" fontId="1" fillId="3" borderId="9" xfId="143" applyFont="1" applyFill="1" applyBorder="1" applyAlignment="1" applyProtection="1">
      <alignment horizontal="center"/>
      <protection hidden="1"/>
    </xf>
    <xf numFmtId="0" fontId="1" fillId="0" borderId="0" xfId="143" applyFont="1" applyFill="1" applyBorder="1" applyAlignment="1" applyProtection="1">
      <alignment horizontal="center"/>
      <protection hidden="1"/>
    </xf>
    <xf numFmtId="0" fontId="1" fillId="0" borderId="0" xfId="143" applyFont="1" applyFill="1" applyBorder="1" applyAlignment="1" applyProtection="1">
      <alignment horizontal="center"/>
      <protection locked="0"/>
    </xf>
    <xf numFmtId="0" fontId="12" fillId="0" borderId="0" xfId="118" applyNumberFormat="1" applyFont="1" applyFill="1" applyBorder="1" applyAlignment="1" applyProtection="1">
      <alignment horizontal="left" wrapText="1"/>
      <protection hidden="1"/>
    </xf>
    <xf numFmtId="0" fontId="12" fillId="0" borderId="0" xfId="118" applyNumberFormat="1" applyFont="1" applyFill="1" applyBorder="1" applyAlignment="1" applyProtection="1">
      <alignment horizontal="left"/>
      <protection hidden="1"/>
    </xf>
    <xf numFmtId="0" fontId="12" fillId="0" borderId="8" xfId="118" applyNumberFormat="1" applyFont="1" applyFill="1" applyBorder="1" applyAlignment="1" applyProtection="1">
      <alignment horizontal="left"/>
      <protection hidden="1"/>
    </xf>
    <xf numFmtId="0" fontId="1" fillId="0" borderId="1" xfId="143" applyFont="1" applyFill="1" applyBorder="1" applyAlignment="1" applyProtection="1">
      <alignment horizontal="left" vertical="top" wrapText="1"/>
      <protection hidden="1"/>
    </xf>
    <xf numFmtId="0" fontId="1" fillId="0" borderId="2" xfId="143" applyFont="1" applyFill="1" applyBorder="1" applyAlignment="1" applyProtection="1">
      <alignment horizontal="left" vertical="top"/>
      <protection hidden="1"/>
    </xf>
    <xf numFmtId="0" fontId="1" fillId="0" borderId="3" xfId="143" applyFont="1" applyFill="1" applyBorder="1" applyAlignment="1" applyProtection="1">
      <alignment horizontal="left" vertical="top"/>
      <protection hidden="1"/>
    </xf>
    <xf numFmtId="0" fontId="1" fillId="0" borderId="4" xfId="143" applyFont="1" applyFill="1" applyBorder="1" applyAlignment="1" applyProtection="1">
      <alignment horizontal="left" vertical="top" wrapText="1"/>
      <protection hidden="1"/>
    </xf>
    <xf numFmtId="0" fontId="1" fillId="0" borderId="0" xfId="143" applyFont="1" applyFill="1" applyBorder="1" applyAlignment="1" applyProtection="1">
      <alignment horizontal="left" vertical="top"/>
      <protection hidden="1"/>
    </xf>
    <xf numFmtId="0" fontId="1" fillId="0" borderId="6" xfId="143" applyFont="1" applyFill="1" applyBorder="1" applyAlignment="1" applyProtection="1">
      <alignment horizontal="left" vertical="top"/>
      <protection hidden="1"/>
    </xf>
    <xf numFmtId="0" fontId="1" fillId="0" borderId="7" xfId="143" applyFont="1" applyFill="1" applyBorder="1" applyAlignment="1" applyProtection="1">
      <alignment horizontal="left" vertical="top"/>
      <protection hidden="1"/>
    </xf>
    <xf numFmtId="0" fontId="1" fillId="0" borderId="8" xfId="143" applyFont="1" applyFill="1" applyBorder="1" applyAlignment="1" applyProtection="1">
      <alignment horizontal="left" vertical="top"/>
      <protection hidden="1"/>
    </xf>
    <xf numFmtId="0" fontId="1" fillId="0" borderId="9" xfId="143" applyFont="1" applyFill="1" applyBorder="1" applyAlignment="1" applyProtection="1">
      <alignment horizontal="left" vertical="top"/>
      <protection hidden="1"/>
    </xf>
    <xf numFmtId="0" fontId="1" fillId="5" borderId="0" xfId="143" applyFont="1" applyFill="1" applyProtection="1">
      <protection locked="0"/>
    </xf>
    <xf numFmtId="0" fontId="1" fillId="5" borderId="0" xfId="143" applyFont="1" applyFill="1" applyAlignment="1" applyProtection="1">
      <alignment horizontal="center"/>
      <protection locked="0"/>
    </xf>
    <xf numFmtId="0" fontId="9" fillId="5" borderId="0" xfId="143" applyFont="1" applyFill="1" applyAlignment="1" applyProtection="1">
      <alignment horizontal="right"/>
      <protection locked="0"/>
    </xf>
    <xf numFmtId="177" fontId="1" fillId="0" borderId="0" xfId="143" applyNumberFormat="1" applyFont="1" applyFill="1" applyBorder="1" applyAlignment="1" applyProtection="1">
      <alignment horizontal="center"/>
      <protection hidden="1"/>
    </xf>
    <xf numFmtId="0" fontId="11" fillId="0" borderId="0" xfId="143" applyFont="1" applyFill="1" applyBorder="1" applyAlignment="1" applyProtection="1">
      <alignment horizontal="center"/>
      <protection hidden="1"/>
    </xf>
    <xf numFmtId="0" fontId="11" fillId="0" borderId="0" xfId="143" applyFont="1" applyFill="1" applyBorder="1" applyAlignment="1" applyProtection="1">
      <alignment horizontal="right"/>
      <protection hidden="1"/>
    </xf>
    <xf numFmtId="0" fontId="1" fillId="0" borderId="0" xfId="143" applyFont="1" applyFill="1" applyBorder="1" applyAlignment="1" applyProtection="1">
      <alignment horizontal="right"/>
      <protection hidden="1"/>
    </xf>
    <xf numFmtId="0" fontId="4" fillId="0" borderId="0" xfId="143" applyFont="1" applyFill="1" applyBorder="1" applyAlignment="1" applyProtection="1">
      <alignment horizontal="right"/>
      <protection hidden="1"/>
    </xf>
    <xf numFmtId="0" fontId="1" fillId="0" borderId="0" xfId="143" applyFont="1" applyFill="1" applyBorder="1" applyProtection="1">
      <protection hidden="1"/>
    </xf>
    <xf numFmtId="49" fontId="13" fillId="0" borderId="0" xfId="118" applyNumberFormat="1" applyFont="1" applyFill="1" applyBorder="1" applyAlignment="1" applyProtection="1">
      <alignment horizontal="center"/>
      <protection hidden="1"/>
    </xf>
    <xf numFmtId="49" fontId="13" fillId="0" borderId="0" xfId="118" applyNumberFormat="1" applyFont="1" applyFill="1" applyAlignment="1" applyProtection="1">
      <alignment vertical="center"/>
      <protection hidden="1"/>
    </xf>
    <xf numFmtId="49" fontId="13" fillId="0" borderId="0" xfId="118" applyNumberFormat="1" applyFont="1" applyFill="1" applyAlignment="1" applyProtection="1">
      <alignment horizontal="center"/>
      <protection hidden="1"/>
    </xf>
    <xf numFmtId="49" fontId="13" fillId="0" borderId="0" xfId="118" applyNumberFormat="1" applyFont="1" applyFill="1" applyProtection="1">
      <protection hidden="1"/>
    </xf>
    <xf numFmtId="0" fontId="3" fillId="0" borderId="0" xfId="118" applyNumberFormat="1" applyFont="1" applyFill="1" applyBorder="1" applyAlignment="1" applyProtection="1">
      <alignment horizontal="center" vertical="center" wrapText="1"/>
      <protection hidden="1"/>
    </xf>
    <xf numFmtId="0" fontId="1" fillId="6" borderId="10" xfId="118" applyNumberFormat="1" applyFont="1" applyFill="1" applyBorder="1" applyAlignment="1" applyProtection="1">
      <alignment horizontal="right" vertical="center" wrapText="1"/>
      <protection hidden="1"/>
    </xf>
    <xf numFmtId="0" fontId="14" fillId="0" borderId="11" xfId="118" applyNumberFormat="1" applyFont="1" applyFill="1" applyBorder="1" applyAlignment="1" applyProtection="1">
      <alignment horizontal="center" vertical="center"/>
      <protection locked="0"/>
    </xf>
    <xf numFmtId="0" fontId="1" fillId="6" borderId="0" xfId="143" applyNumberFormat="1" applyFont="1" applyFill="1" applyBorder="1" applyAlignment="1" applyProtection="1">
      <alignment horizontal="center" vertical="center" wrapText="1"/>
      <protection hidden="1"/>
    </xf>
    <xf numFmtId="0" fontId="4" fillId="0" borderId="11" xfId="143" applyFont="1" applyFill="1" applyBorder="1" applyAlignment="1" applyProtection="1">
      <alignment horizontal="center" vertical="center"/>
      <protection locked="0"/>
    </xf>
    <xf numFmtId="49" fontId="4" fillId="0" borderId="11" xfId="118" applyNumberFormat="1" applyFont="1" applyFill="1" applyBorder="1" applyAlignment="1" applyProtection="1">
      <alignment horizontal="center" vertical="center"/>
      <protection hidden="1"/>
    </xf>
    <xf numFmtId="0" fontId="1" fillId="6" borderId="12" xfId="118" applyNumberFormat="1" applyFont="1" applyFill="1" applyBorder="1" applyAlignment="1" applyProtection="1">
      <alignment horizontal="right" vertical="center" wrapText="1"/>
      <protection hidden="1"/>
    </xf>
    <xf numFmtId="180" fontId="14" fillId="0" borderId="11" xfId="118" applyNumberFormat="1" applyFont="1" applyFill="1" applyBorder="1" applyAlignment="1" applyProtection="1">
      <alignment horizontal="center" vertical="center"/>
      <protection locked="0"/>
    </xf>
    <xf numFmtId="0" fontId="14" fillId="0" borderId="13" xfId="118" applyNumberFormat="1" applyFont="1" applyFill="1" applyBorder="1" applyAlignment="1" applyProtection="1">
      <alignment horizontal="center" vertical="center"/>
      <protection locked="0"/>
    </xf>
    <xf numFmtId="0" fontId="4" fillId="0" borderId="13" xfId="143" applyFont="1" applyFill="1" applyBorder="1" applyAlignment="1" applyProtection="1">
      <alignment horizontal="center" vertical="center"/>
      <protection locked="0"/>
    </xf>
    <xf numFmtId="49" fontId="4" fillId="0" borderId="13" xfId="118" applyNumberFormat="1" applyFont="1" applyFill="1" applyBorder="1" applyAlignment="1" applyProtection="1">
      <alignment horizontal="center" vertical="center"/>
      <protection hidden="1"/>
    </xf>
    <xf numFmtId="180" fontId="14" fillId="0" borderId="13" xfId="118" applyNumberFormat="1" applyFont="1" applyFill="1" applyBorder="1" applyAlignment="1" applyProtection="1">
      <alignment horizontal="center" vertical="center"/>
      <protection locked="0"/>
    </xf>
    <xf numFmtId="0" fontId="13" fillId="0" borderId="0" xfId="118" applyNumberFormat="1" applyFont="1" applyFill="1" applyBorder="1" applyAlignment="1" applyProtection="1">
      <alignment horizontal="center"/>
      <protection hidden="1"/>
    </xf>
    <xf numFmtId="0" fontId="13" fillId="0" borderId="0" xfId="118" applyNumberFormat="1" applyFont="1" applyFill="1" applyBorder="1" applyAlignment="1" applyProtection="1">
      <alignment horizontal="center"/>
      <protection locked="0"/>
    </xf>
    <xf numFmtId="49" fontId="13" fillId="0" borderId="0" xfId="118" applyNumberFormat="1" applyFont="1" applyFill="1" applyBorder="1" applyProtection="1">
      <protection locked="0"/>
    </xf>
    <xf numFmtId="0" fontId="14" fillId="0" borderId="0" xfId="118" applyNumberFormat="1" applyFont="1" applyFill="1" applyBorder="1" applyAlignment="1" applyProtection="1">
      <alignment horizontal="right" vertical="center" wrapText="1"/>
      <protection hidden="1"/>
    </xf>
    <xf numFmtId="49" fontId="13" fillId="0" borderId="0" xfId="118" applyNumberFormat="1" applyFont="1" applyFill="1" applyBorder="1" applyProtection="1"/>
    <xf numFmtId="58" fontId="14" fillId="0" borderId="11" xfId="118" applyNumberFormat="1" applyFont="1" applyFill="1" applyBorder="1" applyAlignment="1" applyProtection="1">
      <alignment horizontal="center" vertical="center"/>
      <protection locked="0"/>
    </xf>
    <xf numFmtId="49" fontId="4" fillId="0" borderId="11" xfId="118" applyNumberFormat="1" applyFont="1" applyFill="1" applyBorder="1" applyAlignment="1" applyProtection="1">
      <alignment horizontal="center" vertical="center"/>
      <protection locked="0"/>
    </xf>
    <xf numFmtId="0" fontId="12" fillId="0" borderId="0" xfId="118" applyNumberFormat="1" applyFont="1" applyFill="1" applyBorder="1" applyAlignment="1" applyProtection="1">
      <alignment vertical="center" wrapText="1"/>
      <protection hidden="1"/>
    </xf>
    <xf numFmtId="182" fontId="4" fillId="0" borderId="0" xfId="118" applyNumberFormat="1" applyFont="1" applyFill="1" applyBorder="1" applyAlignment="1" applyProtection="1">
      <alignment horizontal="center" vertical="center"/>
    </xf>
    <xf numFmtId="58" fontId="14" fillId="0" borderId="13" xfId="118" applyNumberFormat="1" applyFont="1" applyFill="1" applyBorder="1" applyAlignment="1" applyProtection="1">
      <alignment horizontal="center" vertical="center"/>
      <protection locked="0"/>
    </xf>
    <xf numFmtId="49" fontId="4" fillId="0" borderId="13" xfId="118" applyNumberFormat="1" applyFont="1" applyFill="1" applyBorder="1" applyAlignment="1" applyProtection="1">
      <alignment horizontal="center" vertical="center"/>
      <protection locked="0"/>
    </xf>
    <xf numFmtId="0" fontId="13" fillId="0" borderId="0" xfId="118" applyNumberFormat="1" applyFont="1" applyFill="1" applyBorder="1" applyAlignment="1" applyProtection="1">
      <alignment horizontal="right" vertical="center" wrapText="1"/>
      <protection hidden="1"/>
    </xf>
    <xf numFmtId="58" fontId="14" fillId="0" borderId="0" xfId="118" applyNumberFormat="1" applyFont="1" applyFill="1" applyBorder="1" applyAlignment="1" applyProtection="1">
      <alignment horizontal="center"/>
      <protection locked="0"/>
    </xf>
    <xf numFmtId="49" fontId="4" fillId="0" borderId="0" xfId="118" applyNumberFormat="1" applyFont="1" applyFill="1" applyBorder="1" applyAlignment="1" applyProtection="1">
      <alignment horizontal="center"/>
      <protection locked="0"/>
    </xf>
    <xf numFmtId="49" fontId="14" fillId="0" borderId="0" xfId="118" applyNumberFormat="1" applyFont="1" applyFill="1" applyBorder="1" applyAlignment="1" applyProtection="1">
      <alignment horizontal="left" vertical="center"/>
      <protection hidden="1"/>
    </xf>
    <xf numFmtId="0" fontId="14" fillId="0" borderId="0" xfId="118" applyNumberFormat="1" applyFont="1" applyFill="1" applyBorder="1" applyAlignment="1" applyProtection="1">
      <alignment horizontal="center"/>
      <protection hidden="1"/>
    </xf>
    <xf numFmtId="182" fontId="4" fillId="0" borderId="0" xfId="118" applyNumberFormat="1" applyFont="1" applyFill="1" applyBorder="1" applyAlignment="1" applyProtection="1">
      <alignment horizontal="center"/>
    </xf>
    <xf numFmtId="0" fontId="13" fillId="6" borderId="14" xfId="118" applyNumberFormat="1" applyFont="1" applyFill="1" applyBorder="1" applyAlignment="1" applyProtection="1">
      <alignment horizontal="center" vertical="center" wrapText="1"/>
      <protection hidden="1"/>
    </xf>
    <xf numFmtId="0" fontId="13" fillId="6" borderId="15" xfId="118" applyNumberFormat="1" applyFont="1" applyFill="1" applyBorder="1" applyAlignment="1" applyProtection="1">
      <alignment horizontal="center" vertical="center" wrapText="1"/>
      <protection hidden="1"/>
    </xf>
    <xf numFmtId="0" fontId="15" fillId="6" borderId="15" xfId="118" applyNumberFormat="1" applyFont="1" applyFill="1" applyBorder="1" applyAlignment="1" applyProtection="1">
      <alignment horizontal="center" vertical="center" wrapText="1"/>
      <protection hidden="1"/>
    </xf>
    <xf numFmtId="0" fontId="1" fillId="6" borderId="16" xfId="118" applyNumberFormat="1" applyFont="1" applyFill="1" applyBorder="1" applyAlignment="1" applyProtection="1">
      <alignment horizontal="center"/>
      <protection locked="0"/>
    </xf>
    <xf numFmtId="0" fontId="13" fillId="6" borderId="16" xfId="118" applyNumberFormat="1" applyFont="1" applyFill="1" applyBorder="1" applyAlignment="1" applyProtection="1">
      <alignment horizontal="center" vertical="center" wrapText="1"/>
      <protection hidden="1"/>
    </xf>
    <xf numFmtId="0" fontId="13" fillId="6" borderId="17" xfId="118" applyNumberFormat="1" applyFont="1" applyFill="1" applyBorder="1" applyAlignment="1" applyProtection="1">
      <alignment horizontal="center" vertical="center" wrapText="1"/>
      <protection hidden="1"/>
    </xf>
    <xf numFmtId="0" fontId="13" fillId="6" borderId="18" xfId="118" applyNumberFormat="1" applyFont="1" applyFill="1" applyBorder="1" applyAlignment="1" applyProtection="1">
      <alignment horizontal="center" vertical="center" wrapText="1"/>
      <protection hidden="1"/>
    </xf>
    <xf numFmtId="182" fontId="14" fillId="6" borderId="5" xfId="143" applyNumberFormat="1" applyFont="1" applyFill="1" applyBorder="1" applyAlignment="1" applyProtection="1">
      <alignment horizontal="center" vertical="center"/>
      <protection hidden="1"/>
    </xf>
    <xf numFmtId="0" fontId="13" fillId="6" borderId="5" xfId="118" applyNumberFormat="1" applyFont="1" applyFill="1" applyBorder="1" applyAlignment="1" applyProtection="1">
      <alignment horizontal="center" vertical="center" wrapText="1"/>
      <protection hidden="1"/>
    </xf>
    <xf numFmtId="0" fontId="13" fillId="0" borderId="19" xfId="118" applyNumberFormat="1" applyFont="1" applyFill="1" applyBorder="1" applyAlignment="1" applyProtection="1">
      <alignment horizontal="center" vertical="center" wrapText="1"/>
      <protection hidden="1"/>
    </xf>
    <xf numFmtId="0" fontId="0" fillId="0" borderId="5" xfId="0" applyBorder="1" applyAlignment="1">
      <alignment horizontal="center"/>
    </xf>
    <xf numFmtId="49" fontId="4" fillId="0" borderId="5" xfId="118" applyNumberFormat="1" applyFont="1" applyFill="1" applyBorder="1" applyAlignment="1" applyProtection="1">
      <alignment horizontal="center" vertical="center"/>
      <protection locked="0"/>
    </xf>
    <xf numFmtId="49" fontId="14" fillId="0" borderId="5" xfId="118" applyNumberFormat="1" applyFont="1" applyFill="1" applyBorder="1" applyAlignment="1" applyProtection="1">
      <alignment horizontal="center" vertical="center"/>
      <protection hidden="1"/>
    </xf>
    <xf numFmtId="0" fontId="14" fillId="0" borderId="5" xfId="118" applyNumberFormat="1" applyFont="1" applyFill="1" applyBorder="1" applyAlignment="1" applyProtection="1">
      <alignment horizontal="center" vertical="center"/>
      <protection hidden="1"/>
    </xf>
    <xf numFmtId="0" fontId="14" fillId="0" borderId="20" xfId="118" applyNumberFormat="1" applyFont="1" applyFill="1" applyBorder="1" applyAlignment="1" applyProtection="1">
      <alignment horizontal="center" vertical="center"/>
      <protection hidden="1"/>
    </xf>
    <xf numFmtId="0" fontId="14" fillId="0" borderId="21" xfId="118" applyNumberFormat="1" applyFont="1" applyFill="1" applyBorder="1" applyAlignment="1" applyProtection="1">
      <alignment horizontal="center" vertical="center"/>
      <protection hidden="1"/>
    </xf>
    <xf numFmtId="0" fontId="13" fillId="0" borderId="17" xfId="118" applyNumberFormat="1" applyFont="1" applyFill="1" applyBorder="1" applyAlignment="1" applyProtection="1">
      <alignment horizontal="center" vertical="center" wrapText="1"/>
      <protection hidden="1"/>
    </xf>
    <xf numFmtId="0" fontId="13" fillId="0" borderId="22" xfId="118" applyNumberFormat="1" applyFont="1" applyFill="1" applyBorder="1" applyAlignment="1" applyProtection="1">
      <alignment horizontal="center" vertical="center" wrapText="1"/>
      <protection hidden="1"/>
    </xf>
    <xf numFmtId="0" fontId="0" fillId="0" borderId="23" xfId="0" applyBorder="1" applyAlignment="1">
      <alignment horizontal="center"/>
    </xf>
    <xf numFmtId="49" fontId="4" fillId="0" borderId="23" xfId="118" applyNumberFormat="1" applyFont="1" applyFill="1" applyBorder="1" applyAlignment="1" applyProtection="1">
      <alignment horizontal="center" vertical="center"/>
      <protection locked="0"/>
    </xf>
    <xf numFmtId="49" fontId="14" fillId="0" borderId="23" xfId="118" applyNumberFormat="1" applyFont="1" applyFill="1" applyBorder="1" applyAlignment="1" applyProtection="1">
      <alignment horizontal="center" vertical="center"/>
      <protection hidden="1"/>
    </xf>
    <xf numFmtId="0" fontId="14" fillId="0" borderId="23" xfId="118" applyNumberFormat="1" applyFont="1" applyFill="1" applyBorder="1" applyAlignment="1" applyProtection="1">
      <alignment horizontal="center" vertical="center"/>
      <protection hidden="1"/>
    </xf>
    <xf numFmtId="0" fontId="14" fillId="0" borderId="24" xfId="118" applyNumberFormat="1" applyFont="1" applyFill="1" applyBorder="1" applyAlignment="1" applyProtection="1">
      <alignment horizontal="center" vertical="center"/>
      <protection hidden="1"/>
    </xf>
    <xf numFmtId="0" fontId="14" fillId="0" borderId="25" xfId="118" applyNumberFormat="1" applyFont="1" applyFill="1" applyBorder="1" applyAlignment="1" applyProtection="1">
      <alignment horizontal="center" vertical="center"/>
      <protection hidden="1"/>
    </xf>
    <xf numFmtId="49" fontId="13" fillId="0" borderId="0" xfId="118" applyNumberFormat="1" applyFont="1" applyFill="1" applyBorder="1" applyAlignment="1" applyProtection="1">
      <alignment horizontal="center"/>
      <protection locked="0"/>
    </xf>
    <xf numFmtId="49" fontId="13" fillId="0" borderId="0" xfId="118" applyNumberFormat="1" applyFont="1" applyFill="1" applyBorder="1" applyAlignment="1" applyProtection="1">
      <protection locked="0"/>
    </xf>
    <xf numFmtId="49" fontId="13" fillId="0" borderId="0" xfId="118" applyNumberFormat="1" applyFont="1" applyFill="1" applyBorder="1" applyProtection="1">
      <protection hidden="1"/>
    </xf>
    <xf numFmtId="0" fontId="14" fillId="0" borderId="0" xfId="118" applyNumberFormat="1" applyFont="1" applyFill="1" applyBorder="1" applyAlignment="1" applyProtection="1">
      <alignment horizontal="left"/>
      <protection hidden="1"/>
    </xf>
    <xf numFmtId="49" fontId="12" fillId="0" borderId="0" xfId="118" applyNumberFormat="1" applyFont="1" applyFill="1" applyBorder="1" applyAlignment="1" applyProtection="1">
      <alignment horizontal="left" vertical="center" wrapText="1"/>
      <protection hidden="1"/>
    </xf>
    <xf numFmtId="49" fontId="12" fillId="0" borderId="8" xfId="118" applyNumberFormat="1" applyFont="1" applyFill="1" applyBorder="1" applyAlignment="1" applyProtection="1">
      <alignment horizontal="left" vertical="center" wrapText="1"/>
      <protection hidden="1"/>
    </xf>
    <xf numFmtId="49" fontId="13" fillId="0" borderId="1" xfId="118" applyNumberFormat="1" applyFont="1" applyFill="1" applyBorder="1" applyAlignment="1" applyProtection="1">
      <alignment horizontal="left" vertical="top"/>
      <protection hidden="1"/>
    </xf>
    <xf numFmtId="49" fontId="13" fillId="0" borderId="2" xfId="118" applyNumberFormat="1" applyFont="1" applyFill="1" applyBorder="1" applyAlignment="1" applyProtection="1">
      <alignment horizontal="left" vertical="top"/>
      <protection hidden="1"/>
    </xf>
    <xf numFmtId="49" fontId="13" fillId="0" borderId="4" xfId="118" applyNumberFormat="1" applyFont="1" applyFill="1" applyBorder="1" applyAlignment="1" applyProtection="1">
      <alignment horizontal="left" vertical="top"/>
      <protection hidden="1"/>
    </xf>
    <xf numFmtId="49" fontId="13" fillId="0" borderId="0" xfId="118" applyNumberFormat="1" applyFont="1" applyFill="1" applyBorder="1" applyAlignment="1" applyProtection="1">
      <alignment horizontal="left" vertical="top"/>
      <protection hidden="1"/>
    </xf>
    <xf numFmtId="49" fontId="13" fillId="0" borderId="7" xfId="118" applyNumberFormat="1" applyFont="1" applyFill="1" applyBorder="1" applyAlignment="1" applyProtection="1">
      <alignment horizontal="left" vertical="top"/>
      <protection hidden="1"/>
    </xf>
    <xf numFmtId="49" fontId="13" fillId="0" borderId="8" xfId="118" applyNumberFormat="1" applyFont="1" applyFill="1" applyBorder="1" applyAlignment="1" applyProtection="1">
      <alignment horizontal="left" vertical="top"/>
      <protection hidden="1"/>
    </xf>
    <xf numFmtId="0" fontId="3" fillId="0" borderId="0" xfId="118" applyNumberFormat="1" applyFont="1" applyFill="1" applyBorder="1" applyAlignment="1" applyProtection="1">
      <alignment horizontal="center" vertical="center"/>
      <protection hidden="1"/>
    </xf>
    <xf numFmtId="49" fontId="13" fillId="0" borderId="11" xfId="118" applyNumberFormat="1" applyFont="1" applyFill="1" applyBorder="1" applyAlignment="1" applyProtection="1">
      <alignment horizontal="center" vertical="center"/>
      <protection hidden="1"/>
    </xf>
    <xf numFmtId="49" fontId="13" fillId="0" borderId="13" xfId="118" applyNumberFormat="1" applyFont="1" applyFill="1" applyBorder="1" applyAlignment="1" applyProtection="1">
      <alignment horizontal="center" vertical="center"/>
      <protection hidden="1"/>
    </xf>
    <xf numFmtId="49" fontId="14" fillId="0" borderId="0" xfId="118" applyNumberFormat="1" applyFont="1" applyFill="1" applyBorder="1" applyAlignment="1" applyProtection="1">
      <alignment horizontal="center" vertical="center"/>
      <protection hidden="1"/>
    </xf>
    <xf numFmtId="49" fontId="14" fillId="0" borderId="0" xfId="118" applyNumberFormat="1" applyFont="1" applyFill="1" applyBorder="1" applyProtection="1">
      <protection hidden="1"/>
    </xf>
    <xf numFmtId="0" fontId="13" fillId="6" borderId="26" xfId="118" applyNumberFormat="1" applyFont="1" applyFill="1" applyBorder="1" applyAlignment="1" applyProtection="1">
      <alignment horizontal="center" vertical="center" wrapText="1"/>
      <protection hidden="1"/>
    </xf>
    <xf numFmtId="0" fontId="13" fillId="6" borderId="27" xfId="118" applyNumberFormat="1" applyFont="1" applyFill="1" applyBorder="1" applyAlignment="1" applyProtection="1">
      <alignment horizontal="center" vertical="center" wrapText="1"/>
      <protection hidden="1"/>
    </xf>
    <xf numFmtId="0" fontId="14" fillId="0" borderId="28" xfId="118" applyNumberFormat="1" applyFont="1" applyFill="1" applyBorder="1" applyAlignment="1" applyProtection="1">
      <alignment horizontal="center" vertical="center"/>
      <protection hidden="1"/>
    </xf>
    <xf numFmtId="0" fontId="14" fillId="0" borderId="29" xfId="118" applyNumberFormat="1" applyFont="1" applyFill="1" applyBorder="1" applyAlignment="1" applyProtection="1">
      <alignment horizontal="center" vertical="center"/>
      <protection hidden="1"/>
    </xf>
    <xf numFmtId="49" fontId="13" fillId="0" borderId="0" xfId="118" applyNumberFormat="1" applyFont="1" applyFill="1" applyBorder="1" applyAlignment="1" applyProtection="1">
      <protection hidden="1"/>
    </xf>
    <xf numFmtId="49" fontId="13" fillId="0" borderId="3" xfId="118" applyNumberFormat="1" applyFont="1" applyFill="1" applyBorder="1" applyAlignment="1" applyProtection="1">
      <alignment horizontal="left" vertical="top"/>
      <protection hidden="1"/>
    </xf>
    <xf numFmtId="49" fontId="13" fillId="0" borderId="6" xfId="118" applyNumberFormat="1" applyFont="1" applyFill="1" applyBorder="1" applyAlignment="1" applyProtection="1">
      <alignment horizontal="left" vertical="top"/>
      <protection hidden="1"/>
    </xf>
    <xf numFmtId="49" fontId="13" fillId="0" borderId="9" xfId="118" applyNumberFormat="1" applyFont="1" applyFill="1" applyBorder="1" applyAlignment="1" applyProtection="1">
      <alignment horizontal="left" vertical="top"/>
      <protection hidden="1"/>
    </xf>
    <xf numFmtId="49" fontId="13" fillId="0" borderId="0" xfId="118" applyNumberFormat="1" applyFont="1" applyFill="1" applyAlignment="1" applyProtection="1">
      <alignment horizontal="center" vertical="center"/>
      <protection hidden="1"/>
    </xf>
    <xf numFmtId="0" fontId="16" fillId="0" borderId="0" xfId="118" applyNumberFormat="1" applyFont="1" applyFill="1" applyBorder="1" applyAlignment="1" applyProtection="1">
      <alignment horizontal="center" vertical="center" wrapText="1"/>
      <protection hidden="1"/>
    </xf>
    <xf numFmtId="0" fontId="1" fillId="7" borderId="10" xfId="118" applyNumberFormat="1" applyFont="1" applyFill="1" applyBorder="1" applyAlignment="1" applyProtection="1">
      <alignment horizontal="center" vertical="center" wrapText="1"/>
      <protection hidden="1"/>
    </xf>
    <xf numFmtId="0" fontId="4" fillId="0" borderId="11" xfId="118" applyNumberFormat="1" applyFont="1" applyFill="1" applyBorder="1" applyAlignment="1" applyProtection="1">
      <alignment horizontal="center" vertical="center"/>
      <protection locked="0"/>
    </xf>
    <xf numFmtId="49" fontId="13" fillId="0" borderId="0" xfId="118" applyNumberFormat="1" applyFont="1" applyFill="1" applyBorder="1" applyAlignment="1" applyProtection="1">
      <alignment vertical="center"/>
      <protection hidden="1"/>
    </xf>
    <xf numFmtId="0" fontId="1" fillId="7" borderId="10" xfId="143" applyNumberFormat="1" applyFont="1" applyFill="1" applyBorder="1" applyAlignment="1" applyProtection="1">
      <alignment horizontal="center" vertical="center" wrapText="1"/>
      <protection hidden="1"/>
    </xf>
    <xf numFmtId="15" fontId="4" fillId="0" borderId="11" xfId="143" applyNumberFormat="1" applyFont="1" applyFill="1" applyBorder="1" applyAlignment="1" applyProtection="1">
      <alignment horizontal="center" vertical="center"/>
      <protection locked="0"/>
    </xf>
    <xf numFmtId="0" fontId="1" fillId="7" borderId="0" xfId="118" applyNumberFormat="1" applyFont="1" applyFill="1" applyBorder="1" applyAlignment="1" applyProtection="1">
      <alignment horizontal="center" vertical="center" wrapText="1"/>
      <protection hidden="1"/>
    </xf>
    <xf numFmtId="0" fontId="4" fillId="0" borderId="13" xfId="118" applyNumberFormat="1" applyFont="1" applyFill="1" applyBorder="1" applyAlignment="1" applyProtection="1">
      <alignment horizontal="center" vertical="center"/>
      <protection locked="0"/>
    </xf>
    <xf numFmtId="15" fontId="4" fillId="0" borderId="13" xfId="143" applyNumberFormat="1" applyFont="1" applyFill="1" applyBorder="1" applyAlignment="1" applyProtection="1">
      <alignment horizontal="center" vertical="center"/>
      <protection locked="0"/>
    </xf>
    <xf numFmtId="0" fontId="12" fillId="6" borderId="30" xfId="118" applyNumberFormat="1" applyFont="1" applyFill="1" applyBorder="1" applyAlignment="1" applyProtection="1">
      <alignment horizontal="center" vertical="center" wrapText="1"/>
      <protection hidden="1"/>
    </xf>
    <xf numFmtId="0" fontId="12" fillId="6" borderId="16" xfId="118" applyNumberFormat="1" applyFont="1" applyFill="1" applyBorder="1" applyAlignment="1" applyProtection="1">
      <alignment horizontal="center" vertical="center" wrapText="1"/>
      <protection hidden="1"/>
    </xf>
    <xf numFmtId="0" fontId="17" fillId="6" borderId="16" xfId="118" applyNumberFormat="1" applyFont="1" applyFill="1" applyBorder="1" applyAlignment="1" applyProtection="1">
      <alignment horizontal="center" vertical="center" wrapText="1"/>
      <protection hidden="1"/>
    </xf>
    <xf numFmtId="0" fontId="12" fillId="6" borderId="19" xfId="118" applyNumberFormat="1" applyFont="1" applyFill="1" applyBorder="1" applyAlignment="1" applyProtection="1">
      <alignment horizontal="center" vertical="center" wrapText="1"/>
      <protection hidden="1"/>
    </xf>
    <xf numFmtId="0" fontId="12" fillId="6" borderId="5" xfId="118" applyNumberFormat="1" applyFont="1" applyFill="1" applyBorder="1" applyAlignment="1" applyProtection="1">
      <alignment horizontal="center" vertical="center" wrapText="1"/>
      <protection hidden="1"/>
    </xf>
    <xf numFmtId="0" fontId="17" fillId="6" borderId="5" xfId="118" applyNumberFormat="1" applyFont="1" applyFill="1" applyBorder="1" applyAlignment="1" applyProtection="1">
      <alignment horizontal="center" vertical="center" wrapText="1"/>
      <protection hidden="1"/>
    </xf>
    <xf numFmtId="49" fontId="13" fillId="2" borderId="19" xfId="118" applyNumberFormat="1" applyFont="1" applyFill="1" applyBorder="1" applyAlignment="1" applyProtection="1">
      <alignment horizontal="center" vertical="center"/>
      <protection hidden="1"/>
    </xf>
    <xf numFmtId="49" fontId="13" fillId="2" borderId="5" xfId="118" applyNumberFormat="1" applyFont="1" applyFill="1" applyBorder="1" applyAlignment="1" applyProtection="1">
      <alignment horizontal="center" vertical="center"/>
      <protection hidden="1"/>
    </xf>
    <xf numFmtId="49" fontId="13" fillId="2" borderId="5" xfId="118" applyNumberFormat="1" applyFont="1" applyFill="1" applyBorder="1" applyAlignment="1" applyProtection="1">
      <alignment vertical="center"/>
      <protection hidden="1"/>
    </xf>
    <xf numFmtId="49" fontId="13" fillId="2" borderId="31" xfId="118" applyNumberFormat="1" applyFont="1" applyFill="1" applyBorder="1" applyAlignment="1" applyProtection="1">
      <alignment horizontal="center" vertical="center"/>
      <protection hidden="1"/>
    </xf>
    <xf numFmtId="49" fontId="13" fillId="2" borderId="23" xfId="118" applyNumberFormat="1" applyFont="1" applyFill="1" applyBorder="1" applyAlignment="1" applyProtection="1">
      <alignment horizontal="center" vertical="center"/>
      <protection hidden="1"/>
    </xf>
    <xf numFmtId="49" fontId="13" fillId="2" borderId="23" xfId="118" applyNumberFormat="1" applyFont="1" applyFill="1" applyBorder="1" applyAlignment="1" applyProtection="1">
      <alignment vertical="center"/>
      <protection hidden="1"/>
    </xf>
    <xf numFmtId="49" fontId="13" fillId="0" borderId="0" xfId="118" applyNumberFormat="1" applyFont="1" applyFill="1" applyBorder="1" applyAlignment="1" applyProtection="1">
      <alignment horizontal="center" vertical="center"/>
      <protection hidden="1"/>
    </xf>
    <xf numFmtId="49" fontId="12" fillId="0" borderId="0" xfId="118" applyNumberFormat="1" applyFont="1" applyFill="1" applyBorder="1" applyAlignment="1" applyProtection="1">
      <alignment horizontal="left" vertical="center"/>
      <protection hidden="1"/>
    </xf>
    <xf numFmtId="49" fontId="12" fillId="0" borderId="8" xfId="118" applyNumberFormat="1" applyFont="1" applyFill="1" applyBorder="1" applyAlignment="1" applyProtection="1">
      <alignment horizontal="left" vertical="center"/>
      <protection hidden="1"/>
    </xf>
    <xf numFmtId="49" fontId="18" fillId="5" borderId="2" xfId="118" applyNumberFormat="1" applyFont="1" applyFill="1" applyBorder="1" applyAlignment="1" applyProtection="1">
      <alignment horizontal="right" vertical="center"/>
      <protection hidden="1"/>
    </xf>
    <xf numFmtId="0" fontId="19" fillId="0" borderId="0" xfId="118" applyNumberFormat="1" applyFont="1" applyFill="1" applyBorder="1" applyAlignment="1" applyProtection="1">
      <alignment vertical="center"/>
      <protection hidden="1"/>
    </xf>
    <xf numFmtId="181" fontId="4" fillId="0" borderId="11" xfId="118" applyNumberFormat="1" applyFont="1" applyFill="1" applyBorder="1" applyAlignment="1" applyProtection="1">
      <alignment horizontal="center" vertical="center"/>
      <protection locked="0"/>
    </xf>
    <xf numFmtId="49" fontId="13" fillId="0" borderId="5" xfId="118" applyNumberFormat="1" applyFont="1" applyFill="1" applyBorder="1" applyAlignment="1" applyProtection="1">
      <alignment horizontal="center" vertical="center"/>
      <protection hidden="1"/>
    </xf>
    <xf numFmtId="0" fontId="4" fillId="0" borderId="0" xfId="143" applyFont="1" applyFill="1" applyBorder="1" applyAlignment="1" applyProtection="1">
      <alignment horizontal="left" vertical="center"/>
      <protection hidden="1"/>
    </xf>
    <xf numFmtId="181" fontId="4" fillId="0" borderId="13" xfId="118" applyNumberFormat="1" applyFont="1" applyFill="1" applyBorder="1" applyAlignment="1" applyProtection="1">
      <alignment horizontal="center" vertical="center"/>
      <protection locked="0"/>
    </xf>
    <xf numFmtId="49" fontId="14" fillId="0" borderId="0" xfId="118" applyNumberFormat="1" applyFont="1" applyFill="1" applyBorder="1" applyAlignment="1" applyProtection="1">
      <alignment vertical="center"/>
      <protection hidden="1"/>
    </xf>
    <xf numFmtId="0" fontId="17" fillId="6" borderId="26" xfId="118" applyNumberFormat="1" applyFont="1" applyFill="1" applyBorder="1" applyAlignment="1" applyProtection="1">
      <alignment horizontal="center" vertical="center" wrapText="1"/>
      <protection hidden="1"/>
    </xf>
    <xf numFmtId="0" fontId="17" fillId="6" borderId="27" xfId="118" applyNumberFormat="1" applyFont="1" applyFill="1" applyBorder="1" applyAlignment="1" applyProtection="1">
      <alignment horizontal="center" vertical="center" wrapText="1"/>
      <protection hidden="1"/>
    </xf>
    <xf numFmtId="49" fontId="13" fillId="2" borderId="27" xfId="118" applyNumberFormat="1" applyFont="1" applyFill="1" applyBorder="1" applyAlignment="1" applyProtection="1">
      <alignment horizontal="center" vertical="center"/>
      <protection hidden="1"/>
    </xf>
    <xf numFmtId="49" fontId="13" fillId="0" borderId="0" xfId="118" applyNumberFormat="1" applyFont="1" applyFill="1" applyBorder="1" applyAlignment="1" applyProtection="1">
      <alignment vertical="center"/>
      <protection locked="0"/>
    </xf>
    <xf numFmtId="49" fontId="13" fillId="2" borderId="32" xfId="118" applyNumberFormat="1" applyFont="1" applyFill="1" applyBorder="1" applyAlignment="1" applyProtection="1">
      <alignment horizontal="center" vertical="center"/>
      <protection hidden="1"/>
    </xf>
    <xf numFmtId="49" fontId="13" fillId="0" borderId="0" xfId="118" applyNumberFormat="1" applyFont="1" applyFill="1" applyAlignment="1" applyProtection="1">
      <alignment horizontal="center" vertical="center"/>
    </xf>
    <xf numFmtId="0" fontId="13" fillId="6" borderId="0" xfId="118" applyNumberFormat="1" applyFont="1" applyFill="1" applyBorder="1" applyAlignment="1" applyProtection="1">
      <alignment horizontal="center" vertical="center" wrapText="1"/>
      <protection hidden="1"/>
    </xf>
    <xf numFmtId="0" fontId="13" fillId="6" borderId="10" xfId="118" applyNumberFormat="1" applyFont="1" applyFill="1" applyBorder="1" applyAlignment="1" applyProtection="1">
      <alignment horizontal="center" vertical="center" wrapText="1"/>
      <protection hidden="1"/>
    </xf>
    <xf numFmtId="0" fontId="0" fillId="0" borderId="5" xfId="0" applyBorder="1" applyAlignment="1">
      <alignment horizontal="center" vertical="center"/>
    </xf>
    <xf numFmtId="0" fontId="13" fillId="6" borderId="12" xfId="118" applyNumberFormat="1" applyFont="1" applyFill="1" applyBorder="1" applyAlignment="1" applyProtection="1">
      <alignment horizontal="center" vertical="center" wrapText="1"/>
      <protection hidden="1"/>
    </xf>
    <xf numFmtId="49" fontId="18" fillId="0" borderId="5" xfId="118" applyNumberFormat="1" applyFont="1" applyFill="1" applyBorder="1" applyAlignment="1" applyProtection="1">
      <alignment horizontal="center" vertical="center"/>
    </xf>
    <xf numFmtId="0" fontId="14" fillId="0" borderId="0" xfId="118" applyNumberFormat="1" applyFont="1" applyFill="1" applyBorder="1" applyAlignment="1" applyProtection="1">
      <alignment horizontal="center" vertical="center"/>
      <protection hidden="1"/>
    </xf>
    <xf numFmtId="0" fontId="14" fillId="0" borderId="0" xfId="118" applyNumberFormat="1" applyFont="1" applyFill="1" applyBorder="1" applyAlignment="1" applyProtection="1">
      <alignment horizontal="center" vertical="center" shrinkToFit="1"/>
      <protection locked="0" hidden="1"/>
    </xf>
    <xf numFmtId="0" fontId="14" fillId="0" borderId="0" xfId="118" applyNumberFormat="1" applyFont="1" applyFill="1" applyBorder="1" applyAlignment="1" applyProtection="1">
      <alignment horizontal="center" vertical="center" shrinkToFit="1"/>
      <protection locked="0"/>
    </xf>
    <xf numFmtId="0" fontId="15" fillId="6" borderId="30" xfId="143" applyNumberFormat="1" applyFont="1" applyFill="1" applyBorder="1" applyAlignment="1" applyProtection="1">
      <alignment horizontal="center" vertical="center" wrapText="1"/>
      <protection hidden="1"/>
    </xf>
    <xf numFmtId="0" fontId="13" fillId="6" borderId="33" xfId="143" applyNumberFormat="1" applyFont="1" applyFill="1" applyBorder="1" applyAlignment="1" applyProtection="1">
      <alignment horizontal="center" vertical="center" wrapText="1"/>
      <protection hidden="1"/>
    </xf>
    <xf numFmtId="0" fontId="13" fillId="6" borderId="34" xfId="143" applyNumberFormat="1" applyFont="1" applyFill="1" applyBorder="1" applyAlignment="1" applyProtection="1">
      <alignment horizontal="center" vertical="center" wrapText="1"/>
      <protection hidden="1"/>
    </xf>
    <xf numFmtId="0" fontId="15" fillId="6" borderId="34" xfId="143" applyNumberFormat="1" applyFont="1" applyFill="1" applyBorder="1" applyAlignment="1" applyProtection="1">
      <alignment horizontal="center" vertical="center" wrapText="1"/>
      <protection hidden="1"/>
    </xf>
    <xf numFmtId="0" fontId="13" fillId="6" borderId="35" xfId="143" applyNumberFormat="1" applyFont="1" applyFill="1" applyBorder="1" applyAlignment="1" applyProtection="1">
      <alignment horizontal="center" vertical="center" wrapText="1"/>
      <protection hidden="1"/>
    </xf>
    <xf numFmtId="0" fontId="15" fillId="6" borderId="35" xfId="143" applyNumberFormat="1" applyFont="1" applyFill="1" applyBorder="1" applyAlignment="1" applyProtection="1">
      <alignment horizontal="center" vertical="center" wrapText="1"/>
      <protection hidden="1"/>
    </xf>
    <xf numFmtId="0" fontId="13" fillId="6" borderId="19" xfId="143" applyNumberFormat="1" applyFont="1" applyFill="1" applyBorder="1" applyAlignment="1" applyProtection="1">
      <alignment horizontal="center" vertical="center" wrapText="1"/>
      <protection hidden="1"/>
    </xf>
    <xf numFmtId="0" fontId="13" fillId="6" borderId="36" xfId="143" applyNumberFormat="1" applyFont="1" applyFill="1" applyBorder="1" applyAlignment="1" applyProtection="1">
      <alignment horizontal="center" vertical="center" wrapText="1"/>
      <protection hidden="1"/>
    </xf>
    <xf numFmtId="0" fontId="13" fillId="6" borderId="37" xfId="143" applyNumberFormat="1" applyFont="1" applyFill="1" applyBorder="1" applyAlignment="1" applyProtection="1">
      <alignment horizontal="center" vertical="center" wrapText="1"/>
      <protection hidden="1"/>
    </xf>
    <xf numFmtId="0" fontId="13" fillId="6" borderId="13" xfId="143" applyNumberFormat="1" applyFont="1" applyFill="1" applyBorder="1" applyAlignment="1" applyProtection="1">
      <alignment horizontal="center" vertical="center" wrapText="1"/>
      <protection hidden="1"/>
    </xf>
    <xf numFmtId="0" fontId="13" fillId="6" borderId="38" xfId="143" applyNumberFormat="1" applyFont="1" applyFill="1" applyBorder="1" applyAlignment="1" applyProtection="1">
      <alignment horizontal="center" vertical="center" wrapText="1"/>
      <protection hidden="1"/>
    </xf>
    <xf numFmtId="0" fontId="13" fillId="0" borderId="17" xfId="143" applyFont="1" applyFill="1" applyBorder="1" applyAlignment="1" applyProtection="1">
      <alignment horizontal="center" vertical="center" wrapText="1"/>
      <protection locked="0"/>
    </xf>
    <xf numFmtId="0" fontId="14" fillId="0" borderId="5" xfId="143" applyFont="1" applyFill="1" applyBorder="1" applyAlignment="1" applyProtection="1">
      <alignment horizontal="center" vertical="center" wrapText="1"/>
      <protection hidden="1"/>
    </xf>
    <xf numFmtId="0" fontId="14" fillId="0" borderId="20" xfId="143" applyFont="1" applyFill="1" applyBorder="1" applyAlignment="1" applyProtection="1">
      <alignment horizontal="center" vertical="center" wrapText="1"/>
      <protection hidden="1"/>
    </xf>
    <xf numFmtId="0" fontId="14" fillId="0" borderId="18" xfId="143" applyFont="1" applyFill="1" applyBorder="1" applyAlignment="1" applyProtection="1">
      <alignment horizontal="center" vertical="center" wrapText="1"/>
      <protection hidden="1"/>
    </xf>
    <xf numFmtId="0" fontId="13" fillId="0" borderId="22" xfId="143" applyFont="1" applyFill="1" applyBorder="1" applyAlignment="1" applyProtection="1">
      <alignment horizontal="center" vertical="center" wrapText="1"/>
      <protection locked="0"/>
    </xf>
    <xf numFmtId="0" fontId="14" fillId="0" borderId="23" xfId="143" applyFont="1" applyFill="1" applyBorder="1" applyAlignment="1" applyProtection="1">
      <alignment horizontal="center" vertical="center" wrapText="1"/>
      <protection hidden="1"/>
    </xf>
    <xf numFmtId="0" fontId="14" fillId="0" borderId="24" xfId="143" applyFont="1" applyFill="1" applyBorder="1" applyAlignment="1" applyProtection="1">
      <alignment horizontal="center" vertical="center" wrapText="1"/>
      <protection hidden="1"/>
    </xf>
    <xf numFmtId="0" fontId="14" fillId="0" borderId="39" xfId="143" applyFont="1" applyFill="1" applyBorder="1" applyAlignment="1" applyProtection="1">
      <alignment horizontal="center" vertical="center" wrapText="1"/>
      <protection hidden="1"/>
    </xf>
    <xf numFmtId="49" fontId="13" fillId="0" borderId="0" xfId="118" applyNumberFormat="1" applyFont="1" applyFill="1" applyBorder="1" applyAlignment="1" applyProtection="1">
      <alignment horizontal="center" vertical="center"/>
    </xf>
    <xf numFmtId="0" fontId="13" fillId="0" borderId="0" xfId="118" applyNumberFormat="1" applyFont="1" applyFill="1" applyBorder="1" applyAlignment="1" applyProtection="1">
      <alignment horizontal="left" vertical="center" wrapText="1"/>
      <protection hidden="1"/>
    </xf>
    <xf numFmtId="0" fontId="13" fillId="0" borderId="0" xfId="118" applyNumberFormat="1" applyFont="1" applyFill="1" applyBorder="1" applyAlignment="1" applyProtection="1">
      <alignment horizontal="left" vertical="center"/>
      <protection hidden="1"/>
    </xf>
    <xf numFmtId="0" fontId="13" fillId="0" borderId="8" xfId="118" applyNumberFormat="1" applyFont="1" applyFill="1" applyBorder="1" applyAlignment="1" applyProtection="1">
      <alignment horizontal="left" vertical="center"/>
      <protection hidden="1"/>
    </xf>
    <xf numFmtId="49" fontId="18" fillId="5" borderId="2" xfId="118" applyNumberFormat="1" applyFont="1" applyFill="1" applyBorder="1" applyAlignment="1" applyProtection="1">
      <alignment horizontal="right" vertical="center"/>
      <protection locked="0"/>
    </xf>
    <xf numFmtId="49" fontId="3" fillId="0" borderId="0" xfId="118" applyNumberFormat="1" applyFont="1" applyFill="1" applyBorder="1" applyAlignment="1" applyProtection="1">
      <alignment horizontal="center" vertical="center"/>
    </xf>
    <xf numFmtId="49" fontId="18" fillId="0" borderId="40" xfId="118" applyNumberFormat="1" applyFont="1" applyFill="1" applyBorder="1" applyAlignment="1" applyProtection="1">
      <alignment horizontal="center" vertical="center"/>
    </xf>
    <xf numFmtId="49" fontId="18" fillId="0" borderId="41" xfId="118" applyNumberFormat="1" applyFont="1" applyFill="1" applyBorder="1" applyAlignment="1" applyProtection="1">
      <alignment horizontal="center" vertical="center"/>
    </xf>
    <xf numFmtId="49" fontId="13" fillId="0" borderId="5" xfId="118" applyNumberFormat="1" applyFont="1" applyFill="1" applyBorder="1" applyAlignment="1" applyProtection="1">
      <alignment horizontal="center" vertical="center"/>
    </xf>
    <xf numFmtId="14" fontId="14" fillId="0" borderId="0" xfId="118" applyNumberFormat="1" applyFont="1" applyFill="1" applyBorder="1" applyAlignment="1" applyProtection="1">
      <alignment horizontal="center" vertical="center"/>
      <protection hidden="1"/>
    </xf>
    <xf numFmtId="49" fontId="18" fillId="0" borderId="36" xfId="118" applyNumberFormat="1" applyFont="1" applyFill="1" applyBorder="1" applyAlignment="1" applyProtection="1">
      <alignment horizontal="center" vertical="center"/>
    </xf>
    <xf numFmtId="49" fontId="18" fillId="0" borderId="37" xfId="118" applyNumberFormat="1" applyFont="1" applyFill="1" applyBorder="1" applyAlignment="1" applyProtection="1">
      <alignment horizontal="center" vertical="center"/>
    </xf>
    <xf numFmtId="49" fontId="14" fillId="0" borderId="0" xfId="118" applyNumberFormat="1" applyFont="1" applyFill="1" applyBorder="1" applyAlignment="1" applyProtection="1">
      <alignment horizontal="center" vertical="center"/>
    </xf>
    <xf numFmtId="14" fontId="14" fillId="0" borderId="0" xfId="118" applyNumberFormat="1" applyFont="1" applyFill="1" applyBorder="1" applyAlignment="1" applyProtection="1">
      <alignment horizontal="center" vertical="center"/>
      <protection locked="0" hidden="1"/>
    </xf>
    <xf numFmtId="49" fontId="13" fillId="0" borderId="0" xfId="118" applyNumberFormat="1" applyFont="1" applyFill="1" applyBorder="1" applyAlignment="1" applyProtection="1">
      <alignment horizontal="center" vertical="center"/>
      <protection locked="0"/>
    </xf>
    <xf numFmtId="0" fontId="14" fillId="0" borderId="2" xfId="143" applyFont="1" applyFill="1" applyBorder="1" applyAlignment="1" applyProtection="1">
      <alignment horizontal="center" vertical="center" wrapText="1"/>
    </xf>
    <xf numFmtId="0" fontId="13" fillId="6" borderId="16" xfId="118" applyNumberFormat="1" applyFont="1" applyFill="1" applyBorder="1" applyAlignment="1" applyProtection="1">
      <alignment horizontal="center" vertical="center"/>
      <protection hidden="1"/>
    </xf>
    <xf numFmtId="0" fontId="14" fillId="6" borderId="16" xfId="118" applyNumberFormat="1" applyFont="1" applyFill="1" applyBorder="1" applyAlignment="1" applyProtection="1">
      <alignment horizontal="center" vertical="center"/>
      <protection hidden="1"/>
    </xf>
    <xf numFmtId="0" fontId="14" fillId="6" borderId="42" xfId="118" applyNumberFormat="1" applyFont="1" applyFill="1" applyBorder="1" applyAlignment="1" applyProtection="1">
      <alignment horizontal="center" vertical="center"/>
      <protection hidden="1"/>
    </xf>
    <xf numFmtId="0" fontId="14" fillId="6" borderId="26" xfId="118" applyNumberFormat="1" applyFont="1" applyFill="1" applyBorder="1" applyAlignment="1" applyProtection="1">
      <alignment horizontal="center" vertical="center"/>
      <protection hidden="1"/>
    </xf>
    <xf numFmtId="0" fontId="14" fillId="0" borderId="0" xfId="143" applyFont="1" applyFill="1" applyBorder="1" applyAlignment="1" applyProtection="1">
      <alignment horizontal="center" vertical="center" wrapText="1"/>
    </xf>
    <xf numFmtId="0" fontId="13" fillId="6" borderId="5" xfId="118" applyNumberFormat="1" applyFont="1" applyFill="1" applyBorder="1" applyAlignment="1" applyProtection="1">
      <alignment horizontal="center" vertical="center"/>
    </xf>
    <xf numFmtId="0" fontId="13" fillId="6" borderId="20" xfId="118" applyNumberFormat="1" applyFont="1" applyFill="1" applyBorder="1" applyAlignment="1" applyProtection="1">
      <alignment horizontal="center" vertical="center"/>
    </xf>
    <xf numFmtId="0" fontId="13" fillId="6" borderId="28" xfId="118" applyNumberFormat="1" applyFont="1" applyFill="1" applyBorder="1" applyAlignment="1" applyProtection="1">
      <alignment horizontal="center" vertical="center"/>
    </xf>
    <xf numFmtId="0" fontId="14" fillId="0" borderId="0" xfId="143" applyFont="1" applyFill="1" applyBorder="1" applyAlignment="1" applyProtection="1">
      <alignment horizontal="center" vertical="center" wrapText="1"/>
      <protection locked="0"/>
    </xf>
    <xf numFmtId="0" fontId="13" fillId="0" borderId="5" xfId="143" applyFont="1" applyFill="1" applyBorder="1" applyAlignment="1" applyProtection="1">
      <alignment horizontal="center" vertical="center" wrapText="1"/>
      <protection locked="0"/>
    </xf>
    <xf numFmtId="183" fontId="13" fillId="0" borderId="5" xfId="118" applyNumberFormat="1" applyFont="1" applyFill="1" applyBorder="1" applyAlignment="1" applyProtection="1">
      <alignment horizontal="center" vertical="center"/>
      <protection hidden="1"/>
    </xf>
    <xf numFmtId="183" fontId="13" fillId="0" borderId="20" xfId="118" applyNumberFormat="1" applyFont="1" applyFill="1" applyBorder="1" applyAlignment="1" applyProtection="1">
      <alignment horizontal="center" vertical="center"/>
      <protection hidden="1"/>
    </xf>
    <xf numFmtId="183" fontId="13" fillId="0" borderId="28" xfId="118" applyNumberFormat="1" applyFont="1" applyFill="1" applyBorder="1" applyAlignment="1" applyProtection="1">
      <alignment horizontal="center" vertical="center"/>
      <protection hidden="1"/>
    </xf>
    <xf numFmtId="0" fontId="1" fillId="0" borderId="0" xfId="143" applyFont="1" applyFill="1" applyBorder="1" applyAlignment="1" applyProtection="1">
      <alignment horizontal="center" vertical="center"/>
    </xf>
    <xf numFmtId="0" fontId="14" fillId="0" borderId="8" xfId="143" applyFont="1" applyFill="1" applyBorder="1" applyAlignment="1" applyProtection="1">
      <alignment horizontal="center" vertical="center" wrapText="1"/>
      <protection locked="0"/>
    </xf>
    <xf numFmtId="0" fontId="13" fillId="0" borderId="23" xfId="143" applyFont="1" applyFill="1" applyBorder="1" applyAlignment="1" applyProtection="1">
      <alignment horizontal="center" vertical="center" wrapText="1"/>
      <protection locked="0"/>
    </xf>
    <xf numFmtId="183" fontId="13" fillId="0" borderId="23" xfId="118" applyNumberFormat="1" applyFont="1" applyFill="1" applyBorder="1" applyAlignment="1" applyProtection="1">
      <alignment horizontal="center" vertical="center"/>
      <protection hidden="1"/>
    </xf>
    <xf numFmtId="183" fontId="13" fillId="0" borderId="24" xfId="118" applyNumberFormat="1" applyFont="1" applyFill="1" applyBorder="1" applyAlignment="1" applyProtection="1">
      <alignment horizontal="center" vertical="center"/>
      <protection hidden="1"/>
    </xf>
    <xf numFmtId="183" fontId="13" fillId="0" borderId="29" xfId="118" applyNumberFormat="1" applyFont="1" applyFill="1" applyBorder="1" applyAlignment="1" applyProtection="1">
      <alignment horizontal="center" vertical="center"/>
      <protection hidden="1"/>
    </xf>
    <xf numFmtId="49" fontId="13" fillId="0" borderId="0" xfId="118" applyNumberFormat="1" applyFont="1" applyFill="1" applyAlignment="1" applyProtection="1"/>
    <xf numFmtId="0" fontId="3" fillId="0" borderId="0" xfId="118" applyNumberFormat="1" applyFont="1" applyFill="1" applyBorder="1" applyAlignment="1" applyProtection="1">
      <alignment horizontal="center" vertical="center" wrapText="1"/>
    </xf>
    <xf numFmtId="0" fontId="13" fillId="6" borderId="0" xfId="118" applyNumberFormat="1" applyFont="1" applyFill="1" applyAlignment="1" applyProtection="1">
      <alignment horizontal="center" vertical="center" wrapText="1"/>
    </xf>
    <xf numFmtId="0" fontId="20" fillId="0" borderId="40" xfId="118" applyNumberFormat="1" applyFont="1" applyFill="1" applyBorder="1" applyAlignment="1" applyProtection="1">
      <alignment horizontal="center" vertical="center"/>
      <protection hidden="1"/>
    </xf>
    <xf numFmtId="0" fontId="20" fillId="0" borderId="41" xfId="118" applyNumberFormat="1" applyFont="1" applyFill="1" applyBorder="1" applyAlignment="1" applyProtection="1">
      <alignment horizontal="center" vertical="center"/>
      <protection hidden="1"/>
    </xf>
    <xf numFmtId="0" fontId="13" fillId="6" borderId="0" xfId="118" applyNumberFormat="1" applyFont="1" applyFill="1" applyBorder="1" applyAlignment="1" applyProtection="1">
      <alignment horizontal="center" vertical="center" wrapText="1"/>
    </xf>
    <xf numFmtId="58" fontId="20" fillId="0" borderId="40" xfId="118" applyNumberFormat="1" applyFont="1" applyFill="1" applyBorder="1" applyAlignment="1" applyProtection="1">
      <alignment horizontal="center" vertical="center"/>
      <protection hidden="1"/>
    </xf>
    <xf numFmtId="58" fontId="20" fillId="0" borderId="41" xfId="118" applyNumberFormat="1" applyFont="1" applyFill="1" applyBorder="1" applyAlignment="1" applyProtection="1">
      <alignment horizontal="center" vertical="center"/>
      <protection hidden="1"/>
    </xf>
    <xf numFmtId="0" fontId="20" fillId="0" borderId="36" xfId="118" applyNumberFormat="1" applyFont="1" applyFill="1" applyBorder="1" applyAlignment="1" applyProtection="1">
      <alignment horizontal="center" vertical="center"/>
      <protection hidden="1"/>
    </xf>
    <xf numFmtId="0" fontId="20" fillId="0" borderId="37" xfId="118" applyNumberFormat="1" applyFont="1" applyFill="1" applyBorder="1" applyAlignment="1" applyProtection="1">
      <alignment horizontal="center" vertical="center"/>
      <protection hidden="1"/>
    </xf>
    <xf numFmtId="58" fontId="20" fillId="0" borderId="36" xfId="118" applyNumberFormat="1" applyFont="1" applyFill="1" applyBorder="1" applyAlignment="1" applyProtection="1">
      <alignment horizontal="center" vertical="center"/>
      <protection hidden="1"/>
    </xf>
    <xf numFmtId="58" fontId="20" fillId="0" borderId="37" xfId="118" applyNumberFormat="1" applyFont="1" applyFill="1" applyBorder="1" applyAlignment="1" applyProtection="1">
      <alignment horizontal="center" vertical="center"/>
      <protection hidden="1"/>
    </xf>
    <xf numFmtId="49" fontId="13" fillId="0" borderId="8" xfId="118" applyNumberFormat="1" applyFont="1" applyFill="1" applyBorder="1" applyAlignment="1" applyProtection="1">
      <alignment horizontal="center"/>
    </xf>
    <xf numFmtId="0" fontId="13" fillId="6" borderId="30" xfId="118" applyNumberFormat="1" applyFont="1" applyFill="1" applyBorder="1" applyAlignment="1" applyProtection="1">
      <alignment horizontal="center" vertical="center" wrapText="1"/>
    </xf>
    <xf numFmtId="0" fontId="13" fillId="6" borderId="33" xfId="143" applyFont="1" applyFill="1" applyBorder="1" applyAlignment="1" applyProtection="1">
      <alignment horizontal="center" vertical="center" wrapText="1"/>
      <protection hidden="1"/>
    </xf>
    <xf numFmtId="0" fontId="13" fillId="6" borderId="2" xfId="143" applyFont="1" applyFill="1" applyBorder="1" applyAlignment="1" applyProtection="1">
      <alignment horizontal="center" vertical="center" wrapText="1"/>
      <protection hidden="1"/>
    </xf>
    <xf numFmtId="0" fontId="13" fillId="6" borderId="34" xfId="143" applyFont="1" applyFill="1" applyBorder="1" applyAlignment="1" applyProtection="1">
      <alignment horizontal="center" vertical="center" wrapText="1"/>
      <protection hidden="1"/>
    </xf>
    <xf numFmtId="0" fontId="13" fillId="6" borderId="19" xfId="118" applyNumberFormat="1" applyFont="1" applyFill="1" applyBorder="1" applyAlignment="1" applyProtection="1">
      <alignment horizontal="center" vertical="center" wrapText="1"/>
    </xf>
    <xf numFmtId="0" fontId="13" fillId="6" borderId="36" xfId="143" applyFont="1" applyFill="1" applyBorder="1" applyAlignment="1" applyProtection="1">
      <alignment horizontal="center" vertical="center" wrapText="1"/>
      <protection hidden="1"/>
    </xf>
    <xf numFmtId="0" fontId="13" fillId="6" borderId="43" xfId="143" applyFont="1" applyFill="1" applyBorder="1" applyAlignment="1" applyProtection="1">
      <alignment horizontal="center" vertical="center" wrapText="1"/>
      <protection hidden="1"/>
    </xf>
    <xf numFmtId="0" fontId="13" fillId="6" borderId="37" xfId="143" applyFont="1" applyFill="1" applyBorder="1" applyAlignment="1" applyProtection="1">
      <alignment horizontal="center" vertical="center" wrapText="1"/>
      <protection hidden="1"/>
    </xf>
    <xf numFmtId="49" fontId="13" fillId="0" borderId="17" xfId="118" applyNumberFormat="1" applyFont="1" applyFill="1" applyBorder="1" applyAlignment="1" applyProtection="1">
      <alignment horizontal="center" vertical="center"/>
    </xf>
    <xf numFmtId="0" fontId="14" fillId="0" borderId="20" xfId="143" applyFont="1" applyFill="1" applyBorder="1" applyAlignment="1" applyProtection="1">
      <alignment horizontal="center" vertical="center" shrinkToFit="1"/>
      <protection hidden="1"/>
    </xf>
    <xf numFmtId="0" fontId="14" fillId="0" borderId="21" xfId="143" applyFont="1" applyFill="1" applyBorder="1" applyAlignment="1" applyProtection="1">
      <alignment horizontal="center" vertical="center" shrinkToFit="1"/>
      <protection hidden="1"/>
    </xf>
    <xf numFmtId="0" fontId="14" fillId="0" borderId="18" xfId="143" applyFont="1" applyFill="1" applyBorder="1" applyAlignment="1" applyProtection="1">
      <alignment horizontal="center" vertical="center" shrinkToFit="1"/>
      <protection hidden="1"/>
    </xf>
    <xf numFmtId="0" fontId="13" fillId="0" borderId="20" xfId="143" applyNumberFormat="1" applyFont="1" applyFill="1" applyBorder="1" applyAlignment="1" applyProtection="1">
      <alignment horizontal="center" vertical="center" wrapText="1"/>
      <protection hidden="1"/>
    </xf>
    <xf numFmtId="0" fontId="13" fillId="0" borderId="21" xfId="143" applyNumberFormat="1" applyFont="1" applyFill="1" applyBorder="1" applyAlignment="1" applyProtection="1">
      <alignment horizontal="center" vertical="center" wrapText="1"/>
      <protection hidden="1"/>
    </xf>
    <xf numFmtId="49" fontId="13" fillId="0" borderId="22" xfId="118" applyNumberFormat="1" applyFont="1" applyFill="1" applyBorder="1" applyAlignment="1" applyProtection="1">
      <alignment horizontal="center" vertical="center"/>
    </xf>
    <xf numFmtId="0" fontId="14" fillId="0" borderId="24" xfId="143" applyFont="1" applyFill="1" applyBorder="1" applyAlignment="1" applyProtection="1">
      <alignment horizontal="center" vertical="center" shrinkToFit="1"/>
      <protection hidden="1"/>
    </xf>
    <xf numFmtId="0" fontId="14" fillId="0" borderId="25" xfId="143" applyFont="1" applyFill="1" applyBorder="1" applyAlignment="1" applyProtection="1">
      <alignment horizontal="center" vertical="center" shrinkToFit="1"/>
      <protection hidden="1"/>
    </xf>
    <xf numFmtId="0" fontId="14" fillId="0" borderId="39" xfId="143" applyFont="1" applyFill="1" applyBorder="1" applyAlignment="1" applyProtection="1">
      <alignment horizontal="center" vertical="center" shrinkToFit="1"/>
      <protection hidden="1"/>
    </xf>
    <xf numFmtId="0" fontId="13" fillId="0" borderId="24" xfId="143" applyNumberFormat="1" applyFont="1" applyFill="1" applyBorder="1" applyAlignment="1" applyProtection="1">
      <alignment horizontal="center" vertical="center" wrapText="1"/>
      <protection hidden="1"/>
    </xf>
    <xf numFmtId="0" fontId="13" fillId="0" borderId="25" xfId="143" applyNumberFormat="1" applyFont="1" applyFill="1" applyBorder="1" applyAlignment="1" applyProtection="1">
      <alignment horizontal="center" vertical="center" wrapText="1"/>
      <protection hidden="1"/>
    </xf>
    <xf numFmtId="0" fontId="13" fillId="0" borderId="0" xfId="143" applyFont="1" applyFill="1" applyBorder="1" applyAlignment="1" applyProtection="1">
      <alignment horizontal="center" vertical="center" wrapText="1"/>
    </xf>
    <xf numFmtId="49" fontId="14" fillId="0" borderId="0" xfId="118" applyNumberFormat="1" applyFont="1" applyFill="1" applyBorder="1" applyAlignment="1" applyProtection="1">
      <alignment horizontal="center"/>
    </xf>
    <xf numFmtId="0" fontId="14" fillId="0" borderId="0" xfId="143" applyFont="1" applyFill="1" applyBorder="1" applyAlignment="1" applyProtection="1">
      <alignment horizontal="center" vertical="center"/>
    </xf>
    <xf numFmtId="0" fontId="20" fillId="0" borderId="0" xfId="118" applyNumberFormat="1" applyFont="1" applyFill="1" applyBorder="1" applyAlignment="1" applyProtection="1">
      <alignment horizontal="left" wrapText="1"/>
      <protection hidden="1"/>
    </xf>
    <xf numFmtId="0" fontId="20" fillId="0" borderId="0" xfId="118" applyNumberFormat="1" applyFont="1" applyFill="1" applyBorder="1" applyAlignment="1" applyProtection="1">
      <alignment horizontal="left"/>
      <protection hidden="1"/>
    </xf>
    <xf numFmtId="0" fontId="20" fillId="0" borderId="8" xfId="118" applyNumberFormat="1" applyFont="1" applyFill="1" applyBorder="1" applyAlignment="1" applyProtection="1">
      <alignment horizontal="left"/>
      <protection hidden="1"/>
    </xf>
    <xf numFmtId="49" fontId="13" fillId="0" borderId="1" xfId="118" applyNumberFormat="1" applyFont="1" applyFill="1" applyBorder="1" applyAlignment="1" applyProtection="1">
      <alignment horizontal="left" vertical="top"/>
    </xf>
    <xf numFmtId="49" fontId="13" fillId="0" borderId="2" xfId="118" applyNumberFormat="1" applyFont="1" applyFill="1" applyBorder="1" applyAlignment="1" applyProtection="1">
      <alignment horizontal="left" vertical="top"/>
    </xf>
    <xf numFmtId="49" fontId="13" fillId="0" borderId="4" xfId="118" applyNumberFormat="1" applyFont="1" applyFill="1" applyBorder="1" applyAlignment="1" applyProtection="1">
      <alignment horizontal="left" vertical="top"/>
    </xf>
    <xf numFmtId="49" fontId="13" fillId="0" borderId="0" xfId="118" applyNumberFormat="1" applyFont="1" applyFill="1" applyBorder="1" applyAlignment="1" applyProtection="1">
      <alignment horizontal="left" vertical="top"/>
    </xf>
    <xf numFmtId="49" fontId="13" fillId="0" borderId="7" xfId="118" applyNumberFormat="1" applyFont="1" applyFill="1" applyBorder="1" applyAlignment="1" applyProtection="1">
      <alignment horizontal="left" vertical="top"/>
    </xf>
    <xf numFmtId="49" fontId="13" fillId="0" borderId="8" xfId="118" applyNumberFormat="1" applyFont="1" applyFill="1" applyBorder="1" applyAlignment="1" applyProtection="1">
      <alignment horizontal="left" vertical="top"/>
    </xf>
    <xf numFmtId="49" fontId="13" fillId="5" borderId="0" xfId="118" applyNumberFormat="1" applyFont="1" applyFill="1" applyBorder="1" applyAlignment="1" applyProtection="1">
      <protection locked="0"/>
    </xf>
    <xf numFmtId="49" fontId="13" fillId="0" borderId="0" xfId="118" applyNumberFormat="1" applyFont="1" applyFill="1" applyBorder="1" applyAlignment="1" applyProtection="1"/>
    <xf numFmtId="0" fontId="18" fillId="6" borderId="0" xfId="118" applyNumberFormat="1" applyFont="1" applyFill="1" applyAlignment="1" applyProtection="1">
      <alignment horizontal="center" vertical="center" wrapText="1"/>
    </xf>
    <xf numFmtId="49" fontId="4" fillId="0" borderId="40" xfId="118" applyNumberFormat="1" applyFont="1" applyFill="1" applyBorder="1" applyAlignment="1" applyProtection="1">
      <alignment horizontal="center" vertical="center"/>
      <protection hidden="1"/>
    </xf>
    <xf numFmtId="49" fontId="4" fillId="0" borderId="44" xfId="118" applyNumberFormat="1" applyFont="1" applyFill="1" applyBorder="1" applyAlignment="1" applyProtection="1">
      <alignment horizontal="center" vertical="center"/>
      <protection hidden="1"/>
    </xf>
    <xf numFmtId="49" fontId="4" fillId="0" borderId="41" xfId="118" applyNumberFormat="1" applyFont="1" applyFill="1" applyBorder="1" applyAlignment="1" applyProtection="1">
      <alignment horizontal="center" vertical="center"/>
      <protection hidden="1"/>
    </xf>
    <xf numFmtId="0" fontId="15" fillId="6" borderId="10" xfId="118" applyNumberFormat="1" applyFont="1" applyFill="1" applyBorder="1" applyAlignment="1" applyProtection="1">
      <alignment horizontal="center" vertical="center" wrapText="1"/>
    </xf>
    <xf numFmtId="49" fontId="4" fillId="0" borderId="5" xfId="118" applyNumberFormat="1" applyFont="1" applyFill="1" applyBorder="1" applyAlignment="1" applyProtection="1">
      <alignment horizontal="center" vertical="center"/>
      <protection hidden="1"/>
    </xf>
    <xf numFmtId="49" fontId="4" fillId="0" borderId="36" xfId="118" applyNumberFormat="1" applyFont="1" applyFill="1" applyBorder="1" applyAlignment="1" applyProtection="1">
      <alignment horizontal="center" vertical="center"/>
      <protection hidden="1"/>
    </xf>
    <xf numFmtId="49" fontId="4" fillId="0" borderId="43" xfId="118" applyNumberFormat="1" applyFont="1" applyFill="1" applyBorder="1" applyAlignment="1" applyProtection="1">
      <alignment horizontal="center" vertical="center"/>
      <protection hidden="1"/>
    </xf>
    <xf numFmtId="49" fontId="4" fillId="0" borderId="37" xfId="118" applyNumberFormat="1" applyFont="1" applyFill="1" applyBorder="1" applyAlignment="1" applyProtection="1">
      <alignment horizontal="center" vertical="center"/>
      <protection hidden="1"/>
    </xf>
    <xf numFmtId="0" fontId="13" fillId="6" borderId="10" xfId="118" applyNumberFormat="1" applyFont="1" applyFill="1" applyBorder="1" applyAlignment="1" applyProtection="1">
      <alignment horizontal="center" vertical="center" wrapText="1"/>
    </xf>
    <xf numFmtId="49" fontId="20" fillId="0" borderId="5" xfId="118" applyNumberFormat="1" applyFont="1" applyFill="1" applyBorder="1" applyAlignment="1" applyProtection="1">
      <alignment horizontal="center" vertical="center" wrapText="1"/>
      <protection hidden="1"/>
    </xf>
    <xf numFmtId="49" fontId="14" fillId="0" borderId="5" xfId="118" applyNumberFormat="1" applyFont="1" applyFill="1" applyBorder="1" applyAlignment="1" applyProtection="1">
      <alignment horizontal="center" vertical="center" wrapText="1"/>
      <protection hidden="1"/>
    </xf>
    <xf numFmtId="0" fontId="13" fillId="0" borderId="18" xfId="143" applyNumberFormat="1" applyFont="1" applyFill="1" applyBorder="1" applyAlignment="1" applyProtection="1">
      <alignment horizontal="center" vertical="center" wrapText="1"/>
      <protection hidden="1"/>
    </xf>
    <xf numFmtId="49" fontId="20" fillId="0" borderId="23" xfId="118" applyNumberFormat="1" applyFont="1" applyFill="1" applyBorder="1" applyAlignment="1" applyProtection="1">
      <alignment horizontal="center" vertical="center" wrapText="1"/>
      <protection hidden="1"/>
    </xf>
    <xf numFmtId="49" fontId="14" fillId="0" borderId="23" xfId="118" applyNumberFormat="1" applyFont="1" applyFill="1" applyBorder="1" applyAlignment="1" applyProtection="1">
      <alignment horizontal="center" vertical="center" wrapText="1"/>
      <protection hidden="1"/>
    </xf>
    <xf numFmtId="49" fontId="14" fillId="0" borderId="0" xfId="118" applyNumberFormat="1" applyFont="1" applyFill="1" applyBorder="1" applyAlignment="1" applyProtection="1">
      <alignment horizontal="center" wrapText="1"/>
      <protection locked="0"/>
    </xf>
    <xf numFmtId="49" fontId="18" fillId="5" borderId="0" xfId="118" applyNumberFormat="1" applyFont="1" applyFill="1" applyBorder="1" applyAlignment="1" applyProtection="1">
      <alignment horizontal="right"/>
      <protection locked="0"/>
    </xf>
    <xf numFmtId="49" fontId="14" fillId="0" borderId="5" xfId="118" applyNumberFormat="1" applyFont="1" applyFill="1" applyBorder="1" applyAlignment="1" applyProtection="1">
      <alignment horizontal="center" vertical="center"/>
    </xf>
    <xf numFmtId="0" fontId="13" fillId="6" borderId="3" xfId="143" applyFont="1" applyFill="1" applyBorder="1" applyAlignment="1" applyProtection="1">
      <alignment horizontal="center" vertical="center" wrapText="1"/>
      <protection hidden="1"/>
    </xf>
    <xf numFmtId="0" fontId="1" fillId="0" borderId="0" xfId="143" applyFont="1" applyFill="1" applyBorder="1" applyAlignment="1" applyProtection="1"/>
    <xf numFmtId="0" fontId="13" fillId="6" borderId="45" xfId="143" applyFont="1" applyFill="1" applyBorder="1" applyAlignment="1" applyProtection="1">
      <alignment horizontal="center" vertical="center" wrapText="1"/>
      <protection hidden="1"/>
    </xf>
    <xf numFmtId="49" fontId="14" fillId="0" borderId="27" xfId="118" applyNumberFormat="1" applyFont="1" applyFill="1" applyBorder="1" applyAlignment="1" applyProtection="1">
      <alignment horizontal="center" vertical="center" wrapText="1"/>
      <protection hidden="1"/>
    </xf>
    <xf numFmtId="49" fontId="14" fillId="0" borderId="32" xfId="118" applyNumberFormat="1" applyFont="1" applyFill="1" applyBorder="1" applyAlignment="1" applyProtection="1">
      <alignment horizontal="center" vertical="center" wrapText="1"/>
      <protection hidden="1"/>
    </xf>
    <xf numFmtId="49" fontId="13" fillId="0" borderId="3" xfId="118" applyNumberFormat="1" applyFont="1" applyFill="1" applyBorder="1" applyAlignment="1" applyProtection="1">
      <alignment horizontal="left" vertical="top"/>
    </xf>
    <xf numFmtId="49" fontId="13" fillId="0" borderId="6" xfId="118" applyNumberFormat="1" applyFont="1" applyFill="1" applyBorder="1" applyAlignment="1" applyProtection="1">
      <alignment horizontal="left" vertical="top"/>
    </xf>
    <xf numFmtId="49" fontId="13" fillId="0" borderId="9" xfId="118" applyNumberFormat="1" applyFont="1" applyFill="1" applyBorder="1" applyAlignment="1" applyProtection="1">
      <alignment horizontal="left" vertical="top"/>
    </xf>
    <xf numFmtId="0" fontId="14" fillId="0" borderId="0" xfId="143" applyFont="1" applyFill="1" applyBorder="1" applyAlignment="1" applyProtection="1">
      <alignment vertical="center" wrapText="1"/>
    </xf>
    <xf numFmtId="0" fontId="13" fillId="0" borderId="0" xfId="0" applyFont="1" applyAlignment="1">
      <alignment vertical="center"/>
    </xf>
    <xf numFmtId="0" fontId="1" fillId="0" borderId="0" xfId="0" applyFont="1" applyAlignment="1">
      <alignment horizontal="center" vertical="center"/>
    </xf>
    <xf numFmtId="0" fontId="1" fillId="0" borderId="0" xfId="0" applyFont="1" applyAlignment="1">
      <alignment vertical="center"/>
    </xf>
    <xf numFmtId="0" fontId="21" fillId="0" borderId="8" xfId="0" applyFont="1" applyBorder="1" applyAlignment="1">
      <alignment horizontal="center" vertical="center" wrapText="1"/>
    </xf>
    <xf numFmtId="0" fontId="15" fillId="6" borderId="30" xfId="0" applyFont="1" applyFill="1" applyBorder="1" applyAlignment="1">
      <alignment horizontal="center" vertical="center" wrapText="1"/>
    </xf>
    <xf numFmtId="0" fontId="15" fillId="6" borderId="35" xfId="0" applyFont="1" applyFill="1" applyBorder="1" applyAlignment="1">
      <alignment horizontal="center" vertical="center" wrapText="1"/>
    </xf>
    <xf numFmtId="0" fontId="22" fillId="0" borderId="2" xfId="0" applyFont="1" applyBorder="1" applyAlignment="1">
      <alignment vertical="center"/>
    </xf>
    <xf numFmtId="0" fontId="23" fillId="0" borderId="2" xfId="0" applyFont="1" applyBorder="1" applyAlignment="1">
      <alignment horizontal="left" vertical="center" wrapText="1"/>
    </xf>
    <xf numFmtId="0" fontId="23" fillId="0" borderId="3" xfId="0" applyFont="1" applyBorder="1" applyAlignment="1">
      <alignment horizontal="left" vertical="center" wrapText="1"/>
    </xf>
    <xf numFmtId="0" fontId="15" fillId="6" borderId="19" xfId="0" applyFont="1" applyFill="1" applyBorder="1" applyAlignment="1">
      <alignment horizontal="center" vertical="center" wrapText="1"/>
    </xf>
    <xf numFmtId="0" fontId="15" fillId="6" borderId="13" xfId="0" applyFont="1" applyFill="1" applyBorder="1" applyAlignment="1">
      <alignment horizontal="center" vertical="center" wrapText="1"/>
    </xf>
    <xf numFmtId="0" fontId="22" fillId="0" borderId="0" xfId="0" applyFont="1" applyBorder="1" applyAlignment="1">
      <alignment vertical="center"/>
    </xf>
    <xf numFmtId="0" fontId="23" fillId="0" borderId="43" xfId="0" applyFont="1" applyBorder="1" applyAlignment="1">
      <alignment horizontal="left" vertical="center" wrapText="1"/>
    </xf>
    <xf numFmtId="0" fontId="23" fillId="0" borderId="45" xfId="0" applyFont="1" applyBorder="1" applyAlignment="1">
      <alignment horizontal="left" vertical="center" wrapText="1"/>
    </xf>
    <xf numFmtId="0" fontId="15" fillId="0" borderId="46" xfId="0" applyFont="1" applyFill="1" applyBorder="1" applyAlignment="1">
      <alignment horizontal="center" vertical="center"/>
    </xf>
    <xf numFmtId="0" fontId="15" fillId="0" borderId="11" xfId="0" applyFont="1" applyBorder="1" applyAlignment="1">
      <alignment horizontal="center" vertical="center"/>
    </xf>
    <xf numFmtId="0" fontId="15" fillId="0" borderId="11" xfId="0" applyFont="1" applyFill="1" applyBorder="1" applyAlignment="1">
      <alignment horizontal="center" vertical="center"/>
    </xf>
    <xf numFmtId="0" fontId="15" fillId="0" borderId="0" xfId="0" applyFont="1" applyBorder="1" applyAlignment="1">
      <alignment vertical="center"/>
    </xf>
    <xf numFmtId="0" fontId="15" fillId="6" borderId="20" xfId="0" applyFont="1" applyFill="1" applyBorder="1" applyAlignment="1">
      <alignment horizontal="center" vertical="center" wrapText="1"/>
    </xf>
    <xf numFmtId="0" fontId="15" fillId="6" borderId="5" xfId="0" applyFont="1" applyFill="1" applyBorder="1" applyAlignment="1">
      <alignment horizontal="center" vertical="center" wrapText="1"/>
    </xf>
    <xf numFmtId="0" fontId="15" fillId="6" borderId="27" xfId="0" applyFont="1" applyFill="1" applyBorder="1" applyAlignment="1">
      <alignment horizontal="center" vertical="center" wrapText="1"/>
    </xf>
    <xf numFmtId="0" fontId="15" fillId="0" borderId="17" xfId="0" applyFont="1" applyFill="1" applyBorder="1" applyAlignment="1">
      <alignment horizontal="center" vertical="center"/>
    </xf>
    <xf numFmtId="0" fontId="15" fillId="0" borderId="5" xfId="0" applyFont="1" applyBorder="1" applyAlignment="1">
      <alignment horizontal="center" vertical="center"/>
    </xf>
    <xf numFmtId="0" fontId="15" fillId="0" borderId="5" xfId="0" applyFont="1" applyFill="1" applyBorder="1" applyAlignment="1">
      <alignment horizontal="center" vertical="center"/>
    </xf>
    <xf numFmtId="0" fontId="15" fillId="6" borderId="36" xfId="0" applyFont="1" applyFill="1" applyBorder="1" applyAlignment="1">
      <alignment horizontal="center" vertical="center"/>
    </xf>
    <xf numFmtId="0" fontId="15" fillId="0" borderId="13" xfId="0" applyFont="1" applyBorder="1" applyAlignment="1">
      <alignment horizontal="center" vertical="center"/>
    </xf>
    <xf numFmtId="0" fontId="15" fillId="0" borderId="47" xfId="0" applyFont="1" applyBorder="1" applyAlignment="1">
      <alignment vertical="center"/>
    </xf>
    <xf numFmtId="0" fontId="15" fillId="6" borderId="20" xfId="0" applyFont="1" applyFill="1" applyBorder="1" applyAlignment="1">
      <alignment horizontal="center" vertical="center"/>
    </xf>
    <xf numFmtId="0" fontId="15" fillId="0" borderId="27" xfId="0" applyFont="1" applyBorder="1" applyAlignment="1">
      <alignment vertical="center"/>
    </xf>
    <xf numFmtId="9" fontId="15" fillId="0" borderId="17" xfId="0" applyNumberFormat="1" applyFont="1" applyFill="1" applyBorder="1" applyAlignment="1">
      <alignment horizontal="center" vertical="center"/>
    </xf>
    <xf numFmtId="0" fontId="15" fillId="0" borderId="5" xfId="0" applyNumberFormat="1" applyFont="1" applyBorder="1" applyAlignment="1">
      <alignment horizontal="center" vertical="center"/>
    </xf>
    <xf numFmtId="0" fontId="15" fillId="0" borderId="28" xfId="0" applyFont="1" applyBorder="1" applyAlignment="1">
      <alignment vertical="center"/>
    </xf>
    <xf numFmtId="0" fontId="4" fillId="0" borderId="0" xfId="0" applyFont="1" applyBorder="1" applyAlignment="1">
      <alignment horizontal="left" vertical="center"/>
    </xf>
    <xf numFmtId="0" fontId="1" fillId="0" borderId="0" xfId="0" applyFont="1" applyBorder="1" applyAlignment="1">
      <alignment vertical="center"/>
    </xf>
    <xf numFmtId="184" fontId="15" fillId="0" borderId="5" xfId="0" applyNumberFormat="1" applyFont="1" applyBorder="1" applyAlignment="1">
      <alignment horizontal="center" vertical="center"/>
    </xf>
    <xf numFmtId="9" fontId="15" fillId="0" borderId="22" xfId="0" applyNumberFormat="1" applyFont="1" applyFill="1" applyBorder="1" applyAlignment="1">
      <alignment horizontal="center" vertical="center"/>
    </xf>
    <xf numFmtId="0" fontId="15" fillId="0" borderId="23" xfId="0" applyFont="1" applyBorder="1" applyAlignment="1">
      <alignment horizontal="center" vertical="center"/>
    </xf>
    <xf numFmtId="0" fontId="15" fillId="0" borderId="23" xfId="0" applyFont="1" applyFill="1" applyBorder="1" applyAlignment="1">
      <alignment horizontal="center" vertical="center"/>
    </xf>
    <xf numFmtId="0" fontId="15" fillId="0" borderId="8" xfId="0" applyFont="1" applyBorder="1" applyAlignment="1">
      <alignment vertical="center"/>
    </xf>
    <xf numFmtId="0" fontId="15" fillId="6" borderId="24" xfId="0" applyFont="1" applyFill="1" applyBorder="1" applyAlignment="1">
      <alignment horizontal="center" vertical="center"/>
    </xf>
    <xf numFmtId="0" fontId="15" fillId="0" borderId="32" xfId="0" applyFont="1" applyBorder="1" applyAlignment="1">
      <alignment vertical="center"/>
    </xf>
    <xf numFmtId="0" fontId="1" fillId="0" borderId="0" xfId="0" applyFont="1" applyBorder="1" applyAlignment="1">
      <alignment horizontal="center" vertical="center"/>
    </xf>
    <xf numFmtId="0" fontId="24" fillId="0" borderId="0" xfId="0" applyFont="1" applyAlignment="1">
      <alignment horizontal="left" vertical="center" wrapText="1"/>
    </xf>
    <xf numFmtId="0" fontId="24" fillId="0" borderId="0" xfId="0" applyFont="1" applyAlignment="1">
      <alignment vertical="center" wrapText="1"/>
    </xf>
    <xf numFmtId="0" fontId="24" fillId="0" borderId="8" xfId="0" applyFont="1" applyBorder="1" applyAlignment="1">
      <alignment horizontal="left" vertical="center" wrapText="1"/>
    </xf>
    <xf numFmtId="0" fontId="24" fillId="0" borderId="0" xfId="0" applyFont="1" applyBorder="1" applyAlignment="1">
      <alignment vertical="center" wrapText="1"/>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1" fillId="0" borderId="4" xfId="0" applyFont="1" applyBorder="1" applyAlignment="1">
      <alignment horizontal="left" vertical="top"/>
    </xf>
    <xf numFmtId="0" fontId="1" fillId="0" borderId="0" xfId="0" applyFont="1" applyBorder="1" applyAlignment="1">
      <alignment horizontal="left" vertical="top"/>
    </xf>
    <xf numFmtId="0" fontId="1" fillId="0" borderId="6" xfId="0" applyFont="1" applyBorder="1" applyAlignment="1">
      <alignment horizontal="left" vertical="top"/>
    </xf>
    <xf numFmtId="0" fontId="1" fillId="0" borderId="7" xfId="0" applyFont="1" applyBorder="1" applyAlignment="1">
      <alignment horizontal="left" vertical="top"/>
    </xf>
    <xf numFmtId="0" fontId="1" fillId="0" borderId="8" xfId="0" applyFont="1" applyBorder="1" applyAlignment="1">
      <alignment horizontal="left" vertical="top"/>
    </xf>
    <xf numFmtId="0" fontId="1" fillId="0" borderId="9" xfId="0" applyFont="1" applyBorder="1" applyAlignment="1">
      <alignment horizontal="left" vertical="top"/>
    </xf>
    <xf numFmtId="0" fontId="13" fillId="0" borderId="0" xfId="144" applyFont="1" applyBorder="1" applyProtection="1">
      <protection locked="0"/>
    </xf>
    <xf numFmtId="0" fontId="13" fillId="0" borderId="0" xfId="144" applyFont="1" applyBorder="1" applyAlignment="1" applyProtection="1">
      <alignment horizontal="center"/>
      <protection locked="0"/>
    </xf>
    <xf numFmtId="0" fontId="1" fillId="0" borderId="0" xfId="0" applyFont="1" applyAlignment="1">
      <alignment horizontal="right" vertical="center"/>
    </xf>
    <xf numFmtId="0" fontId="13" fillId="0" borderId="0" xfId="144" applyFont="1" applyBorder="1" applyAlignment="1" applyProtection="1">
      <alignment horizontal="right"/>
      <protection locked="0"/>
    </xf>
    <xf numFmtId="0" fontId="13" fillId="0" borderId="0" xfId="144" applyFont="1"/>
    <xf numFmtId="0" fontId="3" fillId="0" borderId="0" xfId="144" applyFont="1" applyBorder="1" applyAlignment="1" applyProtection="1">
      <alignment horizontal="center" vertical="center" wrapText="1"/>
      <protection hidden="1"/>
    </xf>
    <xf numFmtId="0" fontId="25" fillId="0" borderId="0" xfId="144" applyFont="1" applyBorder="1" applyAlignment="1" applyProtection="1">
      <alignment horizontal="center" vertical="center" wrapText="1"/>
      <protection hidden="1"/>
    </xf>
    <xf numFmtId="0" fontId="26" fillId="0" borderId="0" xfId="144" applyFont="1" applyBorder="1" applyAlignment="1" applyProtection="1">
      <alignment horizontal="center" vertical="center" wrapText="1"/>
      <protection hidden="1"/>
    </xf>
    <xf numFmtId="0" fontId="13" fillId="6" borderId="40" xfId="144" applyFont="1" applyFill="1" applyBorder="1" applyAlignment="1" applyProtection="1">
      <alignment horizontal="center" vertical="center" wrapText="1"/>
      <protection hidden="1"/>
    </xf>
    <xf numFmtId="0" fontId="13" fillId="6" borderId="41" xfId="144" applyFont="1" applyFill="1" applyBorder="1" applyAlignment="1" applyProtection="1">
      <alignment horizontal="center" vertical="center" wrapText="1"/>
      <protection hidden="1"/>
    </xf>
    <xf numFmtId="0" fontId="13" fillId="0" borderId="11" xfId="144" applyFont="1" applyBorder="1" applyAlignment="1">
      <alignment horizontal="center" vertical="center"/>
    </xf>
    <xf numFmtId="0" fontId="13" fillId="0" borderId="5" xfId="144" applyFont="1" applyBorder="1" applyAlignment="1" applyProtection="1">
      <alignment horizontal="center" vertical="center"/>
      <protection hidden="1"/>
    </xf>
    <xf numFmtId="0" fontId="13" fillId="6" borderId="36" xfId="144" applyFont="1" applyFill="1" applyBorder="1" applyAlignment="1" applyProtection="1">
      <alignment horizontal="center" vertical="center" wrapText="1"/>
      <protection hidden="1"/>
    </xf>
    <xf numFmtId="0" fontId="13" fillId="6" borderId="37" xfId="144" applyFont="1" applyFill="1" applyBorder="1" applyAlignment="1" applyProtection="1">
      <alignment horizontal="center" vertical="center" wrapText="1"/>
      <protection hidden="1"/>
    </xf>
    <xf numFmtId="0" fontId="13" fillId="0" borderId="13" xfId="144" applyFont="1" applyBorder="1" applyAlignment="1">
      <alignment horizontal="center" vertical="center"/>
    </xf>
    <xf numFmtId="0" fontId="13" fillId="0" borderId="0" xfId="144" applyFont="1" applyBorder="1" applyAlignment="1">
      <alignment horizontal="left"/>
    </xf>
    <xf numFmtId="0" fontId="13" fillId="0" borderId="0" xfId="144" applyFont="1" applyBorder="1" applyAlignment="1">
      <alignment horizontal="center"/>
    </xf>
    <xf numFmtId="0" fontId="13" fillId="0" borderId="0" xfId="144" applyFont="1" applyBorder="1" applyAlignment="1" applyProtection="1">
      <alignment horizontal="center"/>
      <protection hidden="1"/>
    </xf>
    <xf numFmtId="0" fontId="13" fillId="0" borderId="0" xfId="144" applyFont="1" applyBorder="1" applyProtection="1">
      <protection hidden="1"/>
    </xf>
    <xf numFmtId="0" fontId="13" fillId="0" borderId="5" xfId="144" applyFont="1" applyBorder="1" applyAlignment="1">
      <alignment horizontal="center" vertical="center"/>
    </xf>
    <xf numFmtId="0" fontId="12" fillId="0" borderId="0" xfId="144" applyFont="1" applyBorder="1" applyAlignment="1" applyProtection="1">
      <alignment horizontal="center"/>
      <protection hidden="1"/>
    </xf>
    <xf numFmtId="0" fontId="13" fillId="0" borderId="0" xfId="144" applyFont="1" applyBorder="1"/>
    <xf numFmtId="0" fontId="13" fillId="0" borderId="0" xfId="144" applyFont="1" applyBorder="1" applyAlignment="1">
      <alignment horizontal="center" vertical="center" wrapText="1"/>
    </xf>
    <xf numFmtId="0" fontId="13" fillId="0" borderId="0" xfId="144" applyFont="1" applyBorder="1" applyAlignment="1">
      <alignment horizontal="center" vertical="center"/>
    </xf>
    <xf numFmtId="0" fontId="14" fillId="0" borderId="0" xfId="0" applyFont="1" applyAlignment="1">
      <alignment horizontal="left" vertical="center" wrapText="1"/>
    </xf>
    <xf numFmtId="0" fontId="14" fillId="0" borderId="8" xfId="0" applyFont="1" applyBorder="1" applyAlignment="1">
      <alignment horizontal="left" vertical="center" wrapText="1"/>
    </xf>
    <xf numFmtId="0" fontId="13" fillId="0" borderId="1" xfId="144" applyFont="1" applyBorder="1" applyAlignment="1">
      <alignment horizontal="left" vertical="top" wrapText="1"/>
    </xf>
    <xf numFmtId="0" fontId="13" fillId="0" borderId="2" xfId="144" applyFont="1" applyBorder="1" applyAlignment="1">
      <alignment horizontal="left" vertical="top" wrapText="1"/>
    </xf>
    <xf numFmtId="0" fontId="13" fillId="0" borderId="4" xfId="144" applyFont="1" applyBorder="1" applyAlignment="1">
      <alignment horizontal="left" vertical="top" wrapText="1"/>
    </xf>
    <xf numFmtId="0" fontId="13" fillId="0" borderId="0" xfId="144" applyFont="1" applyBorder="1" applyAlignment="1">
      <alignment horizontal="left" vertical="top" wrapText="1"/>
    </xf>
    <xf numFmtId="0" fontId="13" fillId="0" borderId="7" xfId="144" applyFont="1" applyBorder="1" applyAlignment="1">
      <alignment horizontal="left" vertical="top" wrapText="1"/>
    </xf>
    <xf numFmtId="0" fontId="13" fillId="0" borderId="8" xfId="144" applyFont="1" applyBorder="1" applyAlignment="1">
      <alignment horizontal="left" vertical="top" wrapText="1"/>
    </xf>
    <xf numFmtId="0" fontId="13" fillId="6" borderId="40" xfId="144" applyNumberFormat="1" applyFont="1" applyFill="1" applyBorder="1" applyAlignment="1" applyProtection="1">
      <alignment horizontal="center" vertical="center"/>
      <protection hidden="1"/>
    </xf>
    <xf numFmtId="0" fontId="13" fillId="6" borderId="44" xfId="144" applyNumberFormat="1" applyFont="1" applyFill="1" applyBorder="1" applyAlignment="1" applyProtection="1">
      <alignment horizontal="center" vertical="center"/>
      <protection hidden="1"/>
    </xf>
    <xf numFmtId="0" fontId="13" fillId="6" borderId="36" xfId="144" applyNumberFormat="1" applyFont="1" applyFill="1" applyBorder="1" applyAlignment="1" applyProtection="1">
      <alignment horizontal="center" vertical="center"/>
      <protection hidden="1"/>
    </xf>
    <xf numFmtId="0" fontId="13" fillId="6" borderId="43" xfId="144" applyNumberFormat="1" applyFont="1" applyFill="1" applyBorder="1" applyAlignment="1" applyProtection="1">
      <alignment horizontal="center" vertical="center"/>
      <protection hidden="1"/>
    </xf>
    <xf numFmtId="0" fontId="13" fillId="6" borderId="11" xfId="144" applyNumberFormat="1" applyFont="1" applyFill="1" applyBorder="1" applyAlignment="1" applyProtection="1">
      <alignment horizontal="center" vertical="center" wrapText="1"/>
      <protection hidden="1"/>
    </xf>
    <xf numFmtId="0" fontId="13" fillId="6" borderId="40" xfId="144" applyNumberFormat="1" applyFont="1" applyFill="1" applyBorder="1" applyAlignment="1" applyProtection="1">
      <alignment horizontal="center" vertical="center" wrapText="1"/>
      <protection hidden="1"/>
    </xf>
    <xf numFmtId="0" fontId="13" fillId="6" borderId="41" xfId="144" applyNumberFormat="1" applyFont="1" applyFill="1" applyBorder="1" applyAlignment="1" applyProtection="1">
      <alignment horizontal="center" vertical="center" wrapText="1"/>
      <protection hidden="1"/>
    </xf>
    <xf numFmtId="0" fontId="13" fillId="0" borderId="0" xfId="144" applyNumberFormat="1" applyFont="1" applyFill="1" applyBorder="1" applyAlignment="1" applyProtection="1">
      <alignment horizontal="center" wrapText="1"/>
      <protection hidden="1"/>
    </xf>
    <xf numFmtId="0" fontId="13" fillId="0" borderId="0" xfId="144" applyFont="1" applyBorder="1" applyAlignment="1">
      <alignment horizontal="center" wrapText="1"/>
    </xf>
    <xf numFmtId="0" fontId="13" fillId="6" borderId="11" xfId="144" applyFont="1" applyFill="1" applyBorder="1" applyAlignment="1">
      <alignment horizontal="center" vertical="center" wrapText="1"/>
    </xf>
    <xf numFmtId="0" fontId="13" fillId="6" borderId="40" xfId="144" applyFont="1" applyFill="1" applyBorder="1" applyAlignment="1" applyProtection="1">
      <alignment horizontal="center" vertical="center"/>
      <protection hidden="1"/>
    </xf>
    <xf numFmtId="0" fontId="13" fillId="6" borderId="41" xfId="144" applyFont="1" applyFill="1" applyBorder="1" applyAlignment="1" applyProtection="1">
      <alignment horizontal="center" vertical="center"/>
      <protection hidden="1"/>
    </xf>
    <xf numFmtId="0" fontId="13" fillId="6" borderId="13" xfId="144" applyNumberFormat="1" applyFont="1" applyFill="1" applyBorder="1" applyAlignment="1" applyProtection="1">
      <alignment horizontal="center" vertical="center" wrapText="1"/>
      <protection hidden="1"/>
    </xf>
    <xf numFmtId="0" fontId="13" fillId="6" borderId="36" xfId="144" applyNumberFormat="1" applyFont="1" applyFill="1" applyBorder="1" applyAlignment="1" applyProtection="1">
      <alignment horizontal="center" vertical="center" wrapText="1"/>
      <protection hidden="1"/>
    </xf>
    <xf numFmtId="0" fontId="13" fillId="6" borderId="37" xfId="144" applyNumberFormat="1" applyFont="1" applyFill="1" applyBorder="1" applyAlignment="1" applyProtection="1">
      <alignment horizontal="center" vertical="center" wrapText="1"/>
      <protection hidden="1"/>
    </xf>
    <xf numFmtId="0" fontId="13" fillId="6" borderId="13" xfId="144" applyFont="1" applyFill="1" applyBorder="1" applyAlignment="1">
      <alignment horizontal="center" vertical="center" wrapText="1"/>
    </xf>
    <xf numFmtId="0" fontId="13" fillId="6" borderId="36" xfId="144" applyFont="1" applyFill="1" applyBorder="1" applyAlignment="1" applyProtection="1">
      <alignment horizontal="center" vertical="center"/>
      <protection hidden="1"/>
    </xf>
    <xf numFmtId="0" fontId="13" fillId="6" borderId="37" xfId="144" applyFont="1" applyFill="1" applyBorder="1" applyAlignment="1" applyProtection="1">
      <alignment horizontal="center" vertical="center"/>
      <protection hidden="1"/>
    </xf>
    <xf numFmtId="0" fontId="13" fillId="0" borderId="5" xfId="144" applyFont="1" applyFill="1" applyBorder="1" applyAlignment="1">
      <alignment horizontal="center"/>
    </xf>
    <xf numFmtId="185" fontId="13" fillId="0" borderId="20" xfId="144" applyNumberFormat="1" applyFont="1" applyFill="1" applyBorder="1" applyAlignment="1" applyProtection="1">
      <alignment horizontal="center"/>
      <protection locked="0"/>
    </xf>
    <xf numFmtId="185" fontId="13" fillId="0" borderId="18" xfId="144" applyNumberFormat="1" applyFont="1" applyFill="1" applyBorder="1" applyAlignment="1" applyProtection="1">
      <alignment horizontal="center"/>
      <protection locked="0"/>
    </xf>
    <xf numFmtId="185" fontId="13" fillId="0" borderId="0" xfId="144" applyNumberFormat="1" applyFont="1" applyFill="1" applyBorder="1" applyAlignment="1" applyProtection="1">
      <alignment horizontal="center"/>
      <protection locked="0"/>
    </xf>
    <xf numFmtId="0" fontId="13" fillId="0" borderId="5" xfId="144" applyFont="1" applyBorder="1" applyAlignment="1" applyProtection="1">
      <alignment horizontal="center"/>
      <protection hidden="1"/>
    </xf>
    <xf numFmtId="0" fontId="13" fillId="2" borderId="20" xfId="144" applyFont="1" applyFill="1" applyBorder="1" applyAlignment="1" applyProtection="1">
      <alignment horizontal="center"/>
      <protection hidden="1"/>
    </xf>
    <xf numFmtId="0" fontId="13" fillId="2" borderId="18" xfId="144" applyFont="1" applyFill="1" applyBorder="1" applyAlignment="1" applyProtection="1">
      <alignment horizontal="center"/>
      <protection hidden="1"/>
    </xf>
    <xf numFmtId="0" fontId="13" fillId="0" borderId="0" xfId="144" applyFont="1" applyBorder="1" applyAlignment="1" applyProtection="1">
      <alignment horizontal="centerContinuous"/>
      <protection hidden="1"/>
    </xf>
    <xf numFmtId="0" fontId="27" fillId="0" borderId="0" xfId="144" applyFont="1" applyBorder="1" applyAlignment="1"/>
    <xf numFmtId="0" fontId="13" fillId="0" borderId="11" xfId="144" applyFont="1" applyBorder="1" applyAlignment="1" applyProtection="1">
      <alignment horizontal="center" vertical="center"/>
      <protection hidden="1"/>
    </xf>
    <xf numFmtId="0" fontId="13" fillId="0" borderId="0" xfId="144" applyFont="1" applyAlignment="1" applyProtection="1">
      <alignment horizontal="center"/>
      <protection hidden="1"/>
    </xf>
    <xf numFmtId="0" fontId="14" fillId="0" borderId="0" xfId="144" applyFont="1" applyAlignment="1" applyProtection="1">
      <alignment horizontal="left"/>
      <protection hidden="1"/>
    </xf>
    <xf numFmtId="0" fontId="13" fillId="0" borderId="13" xfId="144" applyFont="1" applyBorder="1" applyAlignment="1" applyProtection="1">
      <alignment horizontal="center" vertical="center"/>
      <protection hidden="1"/>
    </xf>
    <xf numFmtId="0" fontId="12" fillId="0" borderId="5" xfId="144" applyFont="1" applyBorder="1" applyAlignment="1">
      <alignment horizontal="center" vertical="center"/>
    </xf>
    <xf numFmtId="0" fontId="12" fillId="0" borderId="0" xfId="144" applyFont="1" applyBorder="1" applyAlignment="1">
      <alignment horizontal="center"/>
    </xf>
    <xf numFmtId="0" fontId="14" fillId="0" borderId="0" xfId="144" applyFont="1" applyBorder="1" applyAlignment="1">
      <alignment horizontal="left"/>
    </xf>
    <xf numFmtId="0" fontId="20" fillId="0" borderId="0" xfId="144" applyFont="1" applyBorder="1" applyAlignment="1">
      <alignment horizontal="left"/>
    </xf>
    <xf numFmtId="0" fontId="12" fillId="0" borderId="0" xfId="144" applyFont="1" applyBorder="1" applyAlignment="1">
      <alignment horizontal="center" vertical="center"/>
    </xf>
    <xf numFmtId="0" fontId="13" fillId="0" borderId="3" xfId="144" applyFont="1" applyBorder="1" applyAlignment="1">
      <alignment horizontal="left" vertical="top" wrapText="1"/>
    </xf>
    <xf numFmtId="0" fontId="13" fillId="0" borderId="6" xfId="144" applyFont="1" applyBorder="1" applyAlignment="1">
      <alignment horizontal="left" vertical="top" wrapText="1"/>
    </xf>
    <xf numFmtId="0" fontId="13" fillId="0" borderId="9" xfId="144" applyFont="1" applyBorder="1" applyAlignment="1">
      <alignment horizontal="left" vertical="top" wrapText="1"/>
    </xf>
    <xf numFmtId="0" fontId="13" fillId="6" borderId="41" xfId="144" applyNumberFormat="1" applyFont="1" applyFill="1" applyBorder="1" applyAlignment="1" applyProtection="1">
      <alignment horizontal="center" vertical="center"/>
      <protection hidden="1"/>
    </xf>
    <xf numFmtId="9" fontId="14" fillId="0" borderId="0" xfId="144" applyNumberFormat="1" applyFont="1" applyBorder="1" applyAlignment="1">
      <alignment horizontal="center"/>
    </xf>
    <xf numFmtId="0" fontId="14" fillId="0" borderId="0" xfId="144" applyFont="1" applyAlignment="1">
      <alignment horizontal="center" wrapText="1"/>
    </xf>
    <xf numFmtId="0" fontId="14" fillId="0" borderId="0" xfId="144" applyFont="1" applyAlignment="1">
      <alignment horizontal="center"/>
    </xf>
    <xf numFmtId="0" fontId="13" fillId="6" borderId="37" xfId="144" applyNumberFormat="1" applyFont="1" applyFill="1" applyBorder="1" applyAlignment="1" applyProtection="1">
      <alignment horizontal="center" vertical="center"/>
      <protection hidden="1"/>
    </xf>
    <xf numFmtId="0" fontId="14" fillId="0" borderId="0" xfId="144" applyFont="1" applyBorder="1" applyAlignment="1">
      <alignment horizontal="center"/>
    </xf>
    <xf numFmtId="0" fontId="13" fillId="0" borderId="0" xfId="144" applyFont="1" applyAlignment="1" applyProtection="1">
      <alignment horizontal="centerContinuous"/>
      <protection hidden="1"/>
    </xf>
    <xf numFmtId="0" fontId="13" fillId="0" borderId="0" xfId="144" applyFont="1" applyProtection="1">
      <protection hidden="1"/>
    </xf>
    <xf numFmtId="10" fontId="13" fillId="0" borderId="0" xfId="144" applyNumberFormat="1" applyFont="1" applyBorder="1"/>
    <xf numFmtId="0" fontId="14" fillId="0" borderId="0" xfId="144" applyFont="1"/>
    <xf numFmtId="0" fontId="13" fillId="0" borderId="11" xfId="144" applyFont="1" applyBorder="1" applyAlignment="1" applyProtection="1">
      <alignment horizontal="center"/>
      <protection hidden="1"/>
    </xf>
    <xf numFmtId="0" fontId="13" fillId="2" borderId="40" xfId="144" applyFont="1" applyFill="1" applyBorder="1" applyAlignment="1" applyProtection="1">
      <alignment horizontal="center"/>
      <protection hidden="1"/>
    </xf>
    <xf numFmtId="0" fontId="13" fillId="2" borderId="41" xfId="144" applyFont="1" applyFill="1" applyBorder="1" applyAlignment="1" applyProtection="1">
      <alignment horizontal="center"/>
      <protection hidden="1"/>
    </xf>
    <xf numFmtId="0" fontId="18" fillId="0" borderId="5" xfId="144" applyFont="1" applyBorder="1"/>
    <xf numFmtId="0" fontId="13" fillId="0" borderId="5" xfId="144" applyFont="1" applyBorder="1" applyAlignment="1">
      <alignment horizontal="center"/>
    </xf>
    <xf numFmtId="0" fontId="13" fillId="0" borderId="40" xfId="144" applyFont="1" applyBorder="1" applyAlignment="1">
      <alignment horizontal="center"/>
    </xf>
    <xf numFmtId="0" fontId="13" fillId="0" borderId="41" xfId="144" applyFont="1" applyBorder="1" applyAlignment="1">
      <alignment horizontal="center"/>
    </xf>
    <xf numFmtId="0" fontId="18" fillId="0" borderId="5" xfId="144" applyFont="1" applyBorder="1" applyAlignment="1">
      <alignment horizontal="center"/>
    </xf>
    <xf numFmtId="0" fontId="13" fillId="0" borderId="12" xfId="144" applyFont="1" applyBorder="1" applyAlignment="1">
      <alignment horizontal="center"/>
    </xf>
    <xf numFmtId="0" fontId="13" fillId="0" borderId="10" xfId="144" applyFont="1" applyBorder="1" applyAlignment="1">
      <alignment horizontal="center"/>
    </xf>
    <xf numFmtId="0" fontId="13" fillId="0" borderId="36" xfId="144" applyFont="1" applyBorder="1" applyAlignment="1">
      <alignment horizontal="center"/>
    </xf>
    <xf numFmtId="0" fontId="13" fillId="0" borderId="37" xfId="144" applyFont="1" applyBorder="1" applyAlignment="1">
      <alignment horizontal="center"/>
    </xf>
    <xf numFmtId="0" fontId="3" fillId="0" borderId="0" xfId="0" applyFont="1" applyAlignment="1">
      <alignment horizontal="center" vertical="center" wrapText="1"/>
    </xf>
    <xf numFmtId="0" fontId="13" fillId="6" borderId="5" xfId="144" applyFont="1" applyFill="1" applyBorder="1" applyAlignment="1" applyProtection="1">
      <alignment horizontal="center" vertical="center" wrapText="1"/>
      <protection hidden="1"/>
    </xf>
    <xf numFmtId="0" fontId="12" fillId="0" borderId="0" xfId="0" applyFont="1" applyAlignment="1">
      <alignment horizontal="center" vertical="center"/>
    </xf>
    <xf numFmtId="0" fontId="1" fillId="0" borderId="5" xfId="0" applyFont="1" applyBorder="1" applyAlignment="1">
      <alignment horizontal="center" vertical="center"/>
    </xf>
    <xf numFmtId="0" fontId="24" fillId="0" borderId="5" xfId="0" applyFont="1" applyBorder="1" applyAlignment="1">
      <alignment horizontal="center" vertical="center"/>
    </xf>
    <xf numFmtId="0" fontId="12" fillId="8" borderId="41" xfId="0" applyFont="1" applyFill="1" applyBorder="1" applyAlignment="1">
      <alignment horizontal="center" vertical="center"/>
    </xf>
    <xf numFmtId="0" fontId="12" fillId="8" borderId="37" xfId="0" applyFont="1" applyFill="1" applyBorder="1" applyAlignment="1">
      <alignment horizontal="center" vertical="center"/>
    </xf>
    <xf numFmtId="0" fontId="1" fillId="0" borderId="1" xfId="0" applyFont="1" applyBorder="1" applyAlignment="1">
      <alignment horizontal="center" vertical="center"/>
    </xf>
    <xf numFmtId="0" fontId="13" fillId="6" borderId="16" xfId="144" applyFont="1" applyFill="1" applyBorder="1" applyAlignment="1" applyProtection="1">
      <alignment horizontal="center" vertical="center" wrapText="1"/>
      <protection hidden="1"/>
    </xf>
    <xf numFmtId="0" fontId="12" fillId="8" borderId="35" xfId="0" applyFont="1" applyFill="1" applyBorder="1" applyAlignment="1">
      <alignment horizontal="center" vertical="center"/>
    </xf>
    <xf numFmtId="0" fontId="13" fillId="6" borderId="33" xfId="144" applyFont="1" applyFill="1" applyBorder="1" applyAlignment="1" applyProtection="1">
      <alignment horizontal="center" vertical="center" wrapText="1"/>
      <protection hidden="1"/>
    </xf>
    <xf numFmtId="0" fontId="13" fillId="6" borderId="2" xfId="144" applyFont="1" applyFill="1" applyBorder="1" applyAlignment="1" applyProtection="1">
      <alignment horizontal="center" vertical="center" wrapText="1"/>
      <protection hidden="1"/>
    </xf>
    <xf numFmtId="0" fontId="13" fillId="6" borderId="34" xfId="144" applyFont="1" applyFill="1" applyBorder="1" applyAlignment="1" applyProtection="1">
      <alignment horizontal="center" vertical="center" wrapText="1"/>
      <protection hidden="1"/>
    </xf>
    <xf numFmtId="0" fontId="12" fillId="8" borderId="35" xfId="0" applyFont="1" applyFill="1" applyBorder="1" applyAlignment="1">
      <alignment horizontal="center" vertical="center" wrapText="1"/>
    </xf>
    <xf numFmtId="0" fontId="1" fillId="0" borderId="4" xfId="0" applyFont="1" applyBorder="1" applyAlignment="1">
      <alignment horizontal="center" vertical="center"/>
    </xf>
    <xf numFmtId="0" fontId="12" fillId="8" borderId="13" xfId="0" applyFont="1" applyFill="1" applyBorder="1" applyAlignment="1">
      <alignment horizontal="center" vertical="center"/>
    </xf>
    <xf numFmtId="0" fontId="13" fillId="6" borderId="43" xfId="144" applyFont="1" applyFill="1" applyBorder="1" applyAlignment="1" applyProtection="1">
      <alignment horizontal="center" vertical="center" wrapText="1"/>
      <protection hidden="1"/>
    </xf>
    <xf numFmtId="0" fontId="12" fillId="8" borderId="13" xfId="0" applyFont="1" applyFill="1" applyBorder="1" applyAlignment="1">
      <alignment horizontal="center" vertical="center" wrapText="1"/>
    </xf>
    <xf numFmtId="0" fontId="1" fillId="0" borderId="17" xfId="0" applyFont="1" applyBorder="1" applyAlignment="1">
      <alignment horizontal="center" vertical="center"/>
    </xf>
    <xf numFmtId="0" fontId="12" fillId="0" borderId="18" xfId="0" applyFont="1" applyBorder="1" applyAlignment="1">
      <alignment horizontal="center" vertical="center"/>
    </xf>
    <xf numFmtId="0" fontId="12" fillId="0" borderId="5" xfId="0" applyFont="1" applyBorder="1" applyAlignment="1">
      <alignment horizontal="center" vertical="center"/>
    </xf>
    <xf numFmtId="0" fontId="1" fillId="0" borderId="22" xfId="0" applyFont="1" applyBorder="1" applyAlignment="1">
      <alignment horizontal="center" vertical="center"/>
    </xf>
    <xf numFmtId="0" fontId="12" fillId="0" borderId="39" xfId="0" applyFont="1" applyBorder="1" applyAlignment="1">
      <alignment horizontal="center" vertical="center"/>
    </xf>
    <xf numFmtId="0" fontId="12" fillId="0" borderId="23" xfId="0" applyFont="1" applyBorder="1" applyAlignment="1">
      <alignment horizontal="center" vertical="center"/>
    </xf>
    <xf numFmtId="0" fontId="12" fillId="0" borderId="2" xfId="0" applyFont="1" applyBorder="1" applyAlignment="1">
      <alignment horizontal="right"/>
    </xf>
    <xf numFmtId="0" fontId="12" fillId="0" borderId="0" xfId="0" applyFont="1" applyAlignment="1"/>
    <xf numFmtId="0" fontId="13" fillId="9" borderId="33" xfId="0" applyFont="1" applyFill="1" applyBorder="1" applyAlignment="1">
      <alignment horizontal="center" vertical="center" wrapText="1"/>
    </xf>
    <xf numFmtId="0" fontId="13" fillId="9" borderId="36" xfId="0" applyFont="1" applyFill="1" applyBorder="1" applyAlignment="1">
      <alignment horizontal="center" vertical="center"/>
    </xf>
    <xf numFmtId="0" fontId="12" fillId="0" borderId="20" xfId="0" applyFont="1" applyBorder="1" applyAlignment="1">
      <alignment horizontal="center" vertical="center"/>
    </xf>
    <xf numFmtId="0" fontId="1" fillId="9" borderId="5" xfId="0" applyFont="1" applyFill="1" applyBorder="1" applyAlignment="1">
      <alignment horizontal="center" vertical="center"/>
    </xf>
    <xf numFmtId="0" fontId="12" fillId="0" borderId="24" xfId="0" applyFont="1" applyBorder="1" applyAlignment="1">
      <alignment horizontal="center" vertical="center"/>
    </xf>
    <xf numFmtId="0" fontId="1" fillId="9" borderId="23" xfId="0" applyFont="1" applyFill="1" applyBorder="1" applyAlignment="1">
      <alignment horizontal="center" vertical="center"/>
    </xf>
    <xf numFmtId="0" fontId="13" fillId="9" borderId="34" xfId="0" applyFont="1" applyFill="1" applyBorder="1" applyAlignment="1">
      <alignment horizontal="center" vertical="center"/>
    </xf>
    <xf numFmtId="0" fontId="13" fillId="9" borderId="16" xfId="90" applyFont="1" applyFill="1" applyBorder="1" applyAlignment="1" applyProtection="1">
      <alignment horizontal="center" vertical="center"/>
    </xf>
    <xf numFmtId="0" fontId="13" fillId="9" borderId="3" xfId="90" applyFont="1" applyFill="1" applyBorder="1" applyAlignment="1" applyProtection="1">
      <alignment horizontal="center" vertical="center"/>
    </xf>
    <xf numFmtId="0" fontId="13" fillId="9" borderId="37" xfId="0" applyFont="1" applyFill="1" applyBorder="1" applyAlignment="1">
      <alignment horizontal="center" vertical="center"/>
    </xf>
    <xf numFmtId="0" fontId="13" fillId="9" borderId="5" xfId="90" applyFont="1" applyFill="1" applyBorder="1" applyAlignment="1" applyProtection="1">
      <alignment horizontal="center" vertical="center"/>
    </xf>
    <xf numFmtId="0" fontId="13" fillId="9" borderId="45" xfId="90" applyFont="1" applyFill="1" applyBorder="1" applyAlignment="1" applyProtection="1">
      <alignment horizontal="center" vertical="center"/>
    </xf>
    <xf numFmtId="0" fontId="13" fillId="9" borderId="5" xfId="90" applyFont="1" applyFill="1" applyBorder="1" applyAlignment="1" applyProtection="1">
      <alignment horizontal="center"/>
    </xf>
    <xf numFmtId="0" fontId="13" fillId="9" borderId="27" xfId="90" applyFont="1" applyFill="1" applyBorder="1" applyAlignment="1" applyProtection="1">
      <alignment horizontal="center"/>
    </xf>
    <xf numFmtId="3" fontId="13" fillId="9" borderId="27" xfId="90" applyNumberFormat="1" applyFont="1" applyFill="1" applyBorder="1" applyAlignment="1" applyProtection="1">
      <alignment horizontal="center"/>
    </xf>
    <xf numFmtId="0" fontId="13" fillId="9" borderId="23" xfId="90" applyFont="1" applyFill="1" applyBorder="1" applyAlignment="1" applyProtection="1">
      <alignment horizontal="center"/>
    </xf>
    <xf numFmtId="3" fontId="13" fillId="9" borderId="32" xfId="90" applyNumberFormat="1" applyFont="1" applyFill="1" applyBorder="1" applyAlignment="1" applyProtection="1">
      <alignment horizontal="center"/>
    </xf>
    <xf numFmtId="0" fontId="12" fillId="0" borderId="0" xfId="145" applyFont="1">
      <alignment vertical="center"/>
    </xf>
    <xf numFmtId="0" fontId="3" fillId="0" borderId="0" xfId="0" applyFont="1" applyBorder="1" applyAlignment="1" applyProtection="1">
      <alignment horizontal="center" vertical="center" wrapText="1"/>
    </xf>
    <xf numFmtId="0" fontId="25" fillId="0" borderId="0" xfId="0" applyFont="1" applyBorder="1" applyAlignment="1" applyProtection="1">
      <alignment horizontal="center" vertical="center" wrapText="1"/>
    </xf>
    <xf numFmtId="0" fontId="25" fillId="0" borderId="1" xfId="0" applyFont="1" applyBorder="1" applyAlignment="1" applyProtection="1">
      <alignment horizontal="center" vertical="center" wrapText="1"/>
    </xf>
    <xf numFmtId="0" fontId="25" fillId="0" borderId="2" xfId="0" applyFont="1" applyBorder="1" applyAlignment="1" applyProtection="1">
      <alignment horizontal="center" vertical="center" wrapText="1"/>
    </xf>
    <xf numFmtId="0" fontId="25" fillId="0" borderId="4" xfId="0" applyFont="1" applyBorder="1" applyAlignment="1" applyProtection="1">
      <alignment horizontal="center" vertical="center" wrapText="1"/>
    </xf>
    <xf numFmtId="0" fontId="28" fillId="0" borderId="0" xfId="0" applyFont="1" applyBorder="1" applyAlignment="1" applyProtection="1">
      <alignment horizontal="center" vertical="center" wrapText="1"/>
    </xf>
    <xf numFmtId="0" fontId="13" fillId="0" borderId="4" xfId="135" applyFont="1" applyBorder="1" applyAlignment="1" applyProtection="1">
      <alignment vertical="center"/>
      <protection locked="0"/>
    </xf>
    <xf numFmtId="0" fontId="29" fillId="0" borderId="0" xfId="135" applyFont="1" applyBorder="1" applyAlignment="1" applyProtection="1">
      <alignment horizontal="center" vertical="center"/>
      <protection hidden="1"/>
    </xf>
    <xf numFmtId="0" fontId="13" fillId="0" borderId="0" xfId="135" applyFont="1" applyBorder="1" applyAlignment="1" applyProtection="1">
      <alignment vertical="center"/>
      <protection locked="0"/>
    </xf>
    <xf numFmtId="0" fontId="13" fillId="0" borderId="4" xfId="135" applyFont="1" applyBorder="1" applyAlignment="1" applyProtection="1">
      <alignment vertical="center"/>
      <protection hidden="1"/>
    </xf>
    <xf numFmtId="0" fontId="13" fillId="0" borderId="0" xfId="135" applyFont="1" applyBorder="1" applyAlignment="1" applyProtection="1">
      <alignment vertical="center"/>
      <protection hidden="1"/>
    </xf>
    <xf numFmtId="0" fontId="13" fillId="0" borderId="0" xfId="135" applyFont="1" applyBorder="1" applyAlignment="1" applyProtection="1">
      <alignment horizontal="center" vertical="center"/>
      <protection hidden="1"/>
    </xf>
    <xf numFmtId="0" fontId="28" fillId="0" borderId="0" xfId="135" applyFont="1" applyBorder="1" applyAlignment="1" applyProtection="1">
      <alignment horizontal="center" vertical="center" textRotation="180" wrapText="1"/>
      <protection hidden="1"/>
    </xf>
    <xf numFmtId="0" fontId="0" fillId="0" borderId="0" xfId="0" applyAlignment="1">
      <alignment horizontal="center"/>
    </xf>
    <xf numFmtId="0" fontId="28" fillId="0" borderId="0" xfId="135" applyFont="1" applyBorder="1" applyAlignment="1" applyProtection="1">
      <alignment horizontal="center" vertical="center" textRotation="180"/>
      <protection hidden="1"/>
    </xf>
    <xf numFmtId="0" fontId="29" fillId="0" borderId="0" xfId="135" applyFont="1" applyBorder="1" applyAlignment="1" applyProtection="1">
      <alignment horizontal="center" vertical="center" textRotation="180"/>
      <protection hidden="1"/>
    </xf>
    <xf numFmtId="0" fontId="12" fillId="0" borderId="4" xfId="145" applyFont="1" applyBorder="1" applyProtection="1">
      <alignment vertical="center"/>
      <protection hidden="1"/>
    </xf>
    <xf numFmtId="0" fontId="12" fillId="0" borderId="0" xfId="135" applyFont="1" applyBorder="1" applyAlignment="1" applyProtection="1">
      <alignment horizontal="center" vertical="center"/>
      <protection hidden="1"/>
    </xf>
    <xf numFmtId="0" fontId="1" fillId="0" borderId="0" xfId="135" applyFont="1" applyBorder="1" applyAlignment="1" applyProtection="1">
      <alignment vertical="center"/>
      <protection hidden="1"/>
    </xf>
    <xf numFmtId="0" fontId="1" fillId="0" borderId="4" xfId="145" applyFont="1" applyBorder="1" applyProtection="1">
      <alignment vertical="center"/>
      <protection hidden="1"/>
    </xf>
    <xf numFmtId="0" fontId="12" fillId="0" borderId="0" xfId="135" applyFont="1" applyBorder="1" applyAlignment="1" applyProtection="1">
      <alignment horizontal="right" vertical="center"/>
      <protection hidden="1"/>
    </xf>
    <xf numFmtId="186" fontId="12" fillId="7" borderId="5" xfId="135" applyNumberFormat="1" applyFont="1" applyFill="1" applyBorder="1" applyAlignment="1" applyProtection="1">
      <alignment horizontal="center" vertical="center"/>
      <protection hidden="1"/>
    </xf>
    <xf numFmtId="0" fontId="12" fillId="0" borderId="0" xfId="135" applyFont="1" applyBorder="1" applyAlignment="1" applyProtection="1">
      <alignment vertical="center"/>
      <protection hidden="1"/>
    </xf>
    <xf numFmtId="0" fontId="12" fillId="0" borderId="0" xfId="145" applyFont="1" applyBorder="1">
      <alignment vertical="center"/>
    </xf>
    <xf numFmtId="0" fontId="1" fillId="0" borderId="7" xfId="145" applyFont="1" applyBorder="1" applyProtection="1">
      <alignment vertical="center"/>
      <protection hidden="1"/>
    </xf>
    <xf numFmtId="0" fontId="12" fillId="0" borderId="8" xfId="135" applyFont="1" applyBorder="1" applyAlignment="1" applyProtection="1">
      <alignment horizontal="right" vertical="center"/>
      <protection hidden="1"/>
    </xf>
    <xf numFmtId="186" fontId="12" fillId="0" borderId="8" xfId="135" applyNumberFormat="1" applyFont="1" applyFill="1" applyBorder="1" applyAlignment="1" applyProtection="1">
      <alignment vertical="center"/>
      <protection hidden="1"/>
    </xf>
    <xf numFmtId="0" fontId="12" fillId="0" borderId="8" xfId="135" applyFont="1" applyBorder="1" applyAlignment="1" applyProtection="1">
      <alignment vertical="center"/>
      <protection hidden="1"/>
    </xf>
    <xf numFmtId="0" fontId="12" fillId="0" borderId="8" xfId="145" applyFont="1" applyBorder="1">
      <alignment vertical="center"/>
    </xf>
    <xf numFmtId="0" fontId="1" fillId="0" borderId="0" xfId="145" applyFont="1" applyBorder="1" applyProtection="1">
      <alignment vertical="center"/>
      <protection hidden="1"/>
    </xf>
    <xf numFmtId="186" fontId="12" fillId="0" borderId="0" xfId="135" applyNumberFormat="1" applyFont="1" applyFill="1" applyBorder="1" applyAlignment="1" applyProtection="1">
      <alignment vertical="center"/>
      <protection hidden="1"/>
    </xf>
    <xf numFmtId="0" fontId="4" fillId="5" borderId="0" xfId="145" applyFont="1" applyFill="1" applyBorder="1" applyAlignment="1" applyProtection="1">
      <alignment horizontal="left" vertical="center" wrapText="1"/>
      <protection hidden="1"/>
    </xf>
    <xf numFmtId="0" fontId="4" fillId="5" borderId="0" xfId="145" applyFont="1" applyFill="1" applyBorder="1" applyAlignment="1" applyProtection="1">
      <alignment horizontal="left" vertical="center"/>
      <protection hidden="1"/>
    </xf>
    <xf numFmtId="0" fontId="4" fillId="5" borderId="8" xfId="145" applyFont="1" applyFill="1" applyBorder="1" applyAlignment="1" applyProtection="1">
      <alignment horizontal="left" vertical="center"/>
      <protection hidden="1"/>
    </xf>
    <xf numFmtId="0" fontId="29" fillId="0" borderId="1" xfId="145" applyFont="1" applyBorder="1" applyAlignment="1" applyProtection="1">
      <alignment horizontal="left" vertical="top"/>
      <protection hidden="1"/>
    </xf>
    <xf numFmtId="0" fontId="29" fillId="0" borderId="2" xfId="145" applyFont="1" applyBorder="1" applyAlignment="1" applyProtection="1">
      <alignment horizontal="left" vertical="top"/>
      <protection hidden="1"/>
    </xf>
    <xf numFmtId="0" fontId="29" fillId="0" borderId="4" xfId="145" applyFont="1" applyBorder="1" applyAlignment="1" applyProtection="1">
      <alignment horizontal="left" vertical="top"/>
      <protection hidden="1"/>
    </xf>
    <xf numFmtId="0" fontId="29" fillId="0" borderId="0" xfId="145" applyFont="1" applyBorder="1" applyAlignment="1" applyProtection="1">
      <alignment horizontal="left" vertical="top"/>
      <protection hidden="1"/>
    </xf>
    <xf numFmtId="0" fontId="29" fillId="0" borderId="7" xfId="145" applyFont="1" applyBorder="1" applyAlignment="1" applyProtection="1">
      <alignment horizontal="left" vertical="top"/>
      <protection hidden="1"/>
    </xf>
    <xf numFmtId="0" fontId="29" fillId="0" borderId="8" xfId="145" applyFont="1" applyBorder="1" applyAlignment="1" applyProtection="1">
      <alignment horizontal="left" vertical="top"/>
      <protection hidden="1"/>
    </xf>
    <xf numFmtId="49" fontId="13" fillId="5" borderId="2" xfId="118" applyNumberFormat="1" applyFont="1" applyFill="1" applyBorder="1" applyAlignment="1" applyProtection="1">
      <alignment horizontal="right"/>
      <protection locked="0"/>
    </xf>
    <xf numFmtId="0" fontId="25" fillId="0" borderId="3" xfId="0" applyFont="1" applyBorder="1" applyAlignment="1" applyProtection="1">
      <alignment horizontal="center" vertical="center" wrapText="1"/>
    </xf>
    <xf numFmtId="0" fontId="25" fillId="0" borderId="6" xfId="0" applyFont="1" applyBorder="1" applyAlignment="1" applyProtection="1">
      <alignment horizontal="center" vertical="center" wrapText="1"/>
    </xf>
    <xf numFmtId="0" fontId="13" fillId="0" borderId="6" xfId="135" applyFont="1" applyBorder="1" applyAlignment="1" applyProtection="1">
      <alignment vertical="center"/>
      <protection locked="0"/>
    </xf>
    <xf numFmtId="0" fontId="13" fillId="0" borderId="6" xfId="135" applyFont="1" applyBorder="1" applyAlignment="1" applyProtection="1">
      <alignment vertical="center"/>
      <protection hidden="1"/>
    </xf>
    <xf numFmtId="0" fontId="13" fillId="0" borderId="6" xfId="135" applyFont="1" applyBorder="1" applyAlignment="1" applyProtection="1">
      <alignment horizontal="center" vertical="center"/>
      <protection hidden="1"/>
    </xf>
    <xf numFmtId="0" fontId="12" fillId="0" borderId="6" xfId="135" applyFont="1" applyBorder="1" applyAlignment="1" applyProtection="1">
      <alignment vertical="center"/>
      <protection hidden="1"/>
    </xf>
    <xf numFmtId="0" fontId="12" fillId="0" borderId="9" xfId="135" applyFont="1" applyBorder="1" applyAlignment="1" applyProtection="1">
      <alignment vertical="center"/>
      <protection hidden="1"/>
    </xf>
    <xf numFmtId="0" fontId="29" fillId="0" borderId="3" xfId="145" applyFont="1" applyBorder="1" applyAlignment="1" applyProtection="1">
      <alignment horizontal="left" vertical="top"/>
      <protection hidden="1"/>
    </xf>
    <xf numFmtId="0" fontId="29" fillId="0" borderId="6" xfId="145" applyFont="1" applyBorder="1" applyAlignment="1" applyProtection="1">
      <alignment horizontal="left" vertical="top"/>
      <protection hidden="1"/>
    </xf>
    <xf numFmtId="0" fontId="29" fillId="0" borderId="9" xfId="145" applyFont="1" applyBorder="1" applyAlignment="1" applyProtection="1">
      <alignment horizontal="left" vertical="top"/>
      <protection hidden="1"/>
    </xf>
    <xf numFmtId="0" fontId="14" fillId="0" borderId="0" xfId="0" applyFont="1" applyAlignment="1" applyProtection="1">
      <alignment wrapText="1"/>
    </xf>
    <xf numFmtId="0" fontId="30" fillId="0" borderId="0" xfId="0" applyFont="1" applyAlignment="1" applyProtection="1">
      <alignment wrapText="1"/>
    </xf>
    <xf numFmtId="0" fontId="31" fillId="0" borderId="0" xfId="0" applyFont="1" applyAlignment="1" applyProtection="1">
      <alignment wrapText="1"/>
    </xf>
    <xf numFmtId="0" fontId="28" fillId="0" borderId="0" xfId="0" applyFont="1" applyAlignment="1" applyProtection="1">
      <alignment wrapText="1"/>
    </xf>
    <xf numFmtId="184" fontId="28" fillId="0" borderId="0" xfId="0" applyNumberFormat="1" applyFont="1" applyAlignment="1" applyProtection="1">
      <alignment wrapText="1"/>
    </xf>
    <xf numFmtId="0" fontId="21" fillId="0" borderId="0" xfId="0" applyFont="1" applyBorder="1" applyAlignment="1" applyProtection="1">
      <alignment horizontal="center" vertical="center" wrapText="1"/>
    </xf>
    <xf numFmtId="0" fontId="31" fillId="6" borderId="14" xfId="0" applyFont="1" applyFill="1" applyBorder="1" applyAlignment="1" applyProtection="1">
      <alignment horizontal="center" vertical="center" wrapText="1"/>
    </xf>
    <xf numFmtId="0" fontId="18" fillId="6" borderId="16" xfId="0" applyFont="1" applyFill="1" applyBorder="1" applyAlignment="1" applyProtection="1">
      <alignment horizontal="center" vertical="center" wrapText="1"/>
    </xf>
    <xf numFmtId="0" fontId="13" fillId="6" borderId="16" xfId="0" applyFont="1" applyFill="1" applyBorder="1" applyAlignment="1" applyProtection="1">
      <alignment horizontal="center" vertical="center" wrapText="1"/>
    </xf>
    <xf numFmtId="0" fontId="31" fillId="6" borderId="26" xfId="0" applyFont="1" applyFill="1" applyBorder="1" applyAlignment="1" applyProtection="1">
      <alignment horizontal="center" vertical="center" wrapText="1"/>
    </xf>
    <xf numFmtId="0" fontId="31" fillId="6" borderId="17" xfId="0" applyFont="1" applyFill="1" applyBorder="1" applyAlignment="1" applyProtection="1">
      <alignment horizontal="center" vertical="center" wrapText="1"/>
    </xf>
    <xf numFmtId="0" fontId="31" fillId="6" borderId="5" xfId="0" applyFont="1" applyFill="1" applyBorder="1" applyAlignment="1" applyProtection="1">
      <alignment horizontal="center" vertical="center" wrapText="1"/>
    </xf>
    <xf numFmtId="184" fontId="31" fillId="6" borderId="5" xfId="0" applyNumberFormat="1" applyFont="1" applyFill="1" applyBorder="1" applyAlignment="1" applyProtection="1">
      <alignment horizontal="center" vertical="center" wrapText="1"/>
    </xf>
    <xf numFmtId="0" fontId="13" fillId="6" borderId="27" xfId="0" applyFont="1" applyFill="1" applyBorder="1" applyAlignment="1" applyProtection="1">
      <alignment horizontal="center" vertical="center" wrapText="1"/>
    </xf>
    <xf numFmtId="184" fontId="13" fillId="2" borderId="18" xfId="0" applyNumberFormat="1" applyFont="1" applyFill="1" applyBorder="1" applyAlignment="1" applyProtection="1">
      <alignment horizontal="center" vertical="center" wrapText="1"/>
      <protection hidden="1"/>
    </xf>
    <xf numFmtId="0" fontId="13" fillId="0" borderId="5" xfId="0" applyNumberFormat="1" applyFont="1" applyBorder="1" applyAlignment="1" applyProtection="1">
      <alignment horizontal="center" vertical="center" wrapText="1"/>
      <protection hidden="1"/>
    </xf>
    <xf numFmtId="186" fontId="13" fillId="0" borderId="5" xfId="0" applyNumberFormat="1" applyFont="1" applyBorder="1" applyAlignment="1" applyProtection="1">
      <alignment horizontal="center" vertical="center" wrapText="1"/>
      <protection hidden="1"/>
    </xf>
    <xf numFmtId="184" fontId="13" fillId="0" borderId="5" xfId="0" applyNumberFormat="1" applyFont="1" applyBorder="1" applyAlignment="1" applyProtection="1">
      <alignment horizontal="center" vertical="center" wrapText="1"/>
      <protection hidden="1"/>
    </xf>
    <xf numFmtId="184" fontId="31" fillId="0" borderId="5" xfId="0" applyNumberFormat="1" applyFont="1" applyFill="1" applyBorder="1" applyAlignment="1" applyProtection="1">
      <alignment horizontal="center" vertical="center" wrapText="1"/>
      <protection hidden="1"/>
    </xf>
    <xf numFmtId="0" fontId="31" fillId="0" borderId="27" xfId="0" applyFont="1" applyFill="1" applyBorder="1" applyAlignment="1" applyProtection="1">
      <alignment horizontal="center" vertical="center" wrapText="1"/>
      <protection hidden="1"/>
    </xf>
    <xf numFmtId="0" fontId="13" fillId="0" borderId="17" xfId="0" applyFont="1" applyBorder="1" applyAlignment="1" applyProtection="1">
      <alignment horizontal="center" vertical="center" wrapText="1"/>
    </xf>
    <xf numFmtId="0" fontId="13" fillId="0" borderId="23" xfId="0" applyNumberFormat="1" applyFont="1" applyBorder="1" applyAlignment="1" applyProtection="1">
      <alignment horizontal="center" vertical="center" wrapText="1"/>
      <protection hidden="1"/>
    </xf>
    <xf numFmtId="186" fontId="13" fillId="0" borderId="23" xfId="0" applyNumberFormat="1" applyFont="1" applyBorder="1" applyAlignment="1" applyProtection="1">
      <alignment horizontal="center" vertical="center" wrapText="1"/>
      <protection hidden="1"/>
    </xf>
    <xf numFmtId="184" fontId="13" fillId="0" borderId="23" xfId="0" applyNumberFormat="1" applyFont="1" applyBorder="1" applyAlignment="1" applyProtection="1">
      <alignment horizontal="center" vertical="center" wrapText="1"/>
      <protection hidden="1"/>
    </xf>
    <xf numFmtId="184" fontId="31" fillId="0" borderId="23" xfId="0" applyNumberFormat="1" applyFont="1" applyFill="1" applyBorder="1" applyAlignment="1" applyProtection="1">
      <alignment horizontal="center" vertical="center" wrapText="1"/>
      <protection hidden="1"/>
    </xf>
    <xf numFmtId="0" fontId="31" fillId="0" borderId="32" xfId="0" applyFont="1" applyFill="1" applyBorder="1" applyAlignment="1" applyProtection="1">
      <alignment horizontal="center" vertical="center" wrapText="1"/>
      <protection hidden="1"/>
    </xf>
    <xf numFmtId="0" fontId="13" fillId="0" borderId="0" xfId="0" applyFont="1" applyBorder="1" applyAlignment="1" applyProtection="1">
      <alignment horizontal="center" vertical="center" wrapText="1"/>
    </xf>
    <xf numFmtId="0" fontId="13" fillId="0" borderId="0" xfId="0" applyNumberFormat="1" applyFont="1" applyBorder="1" applyAlignment="1" applyProtection="1">
      <alignment horizontal="center" vertical="center" wrapText="1"/>
      <protection hidden="1"/>
    </xf>
    <xf numFmtId="186" fontId="13" fillId="0" borderId="0" xfId="0" applyNumberFormat="1" applyFont="1" applyBorder="1" applyAlignment="1" applyProtection="1">
      <alignment horizontal="center" vertical="center" wrapText="1"/>
      <protection hidden="1"/>
    </xf>
    <xf numFmtId="184" fontId="13" fillId="0" borderId="0" xfId="0" applyNumberFormat="1" applyFont="1" applyBorder="1" applyAlignment="1" applyProtection="1">
      <alignment horizontal="center" vertical="center" wrapText="1"/>
      <protection hidden="1"/>
    </xf>
    <xf numFmtId="184" fontId="31" fillId="0" borderId="0" xfId="0" applyNumberFormat="1" applyFont="1" applyFill="1" applyBorder="1" applyAlignment="1" applyProtection="1">
      <alignment horizontal="center" vertical="center" wrapText="1"/>
      <protection hidden="1"/>
    </xf>
    <xf numFmtId="0" fontId="31" fillId="0" borderId="0" xfId="0" applyFont="1" applyFill="1" applyBorder="1" applyAlignment="1" applyProtection="1">
      <alignment horizontal="center" vertical="center" wrapText="1"/>
      <protection hidden="1"/>
    </xf>
    <xf numFmtId="0" fontId="14" fillId="0" borderId="0" xfId="0" applyFont="1" applyBorder="1" applyAlignment="1" applyProtection="1">
      <alignment horizontal="left" vertical="center" wrapText="1"/>
    </xf>
    <xf numFmtId="0" fontId="14" fillId="0" borderId="8" xfId="0" applyFont="1" applyBorder="1" applyAlignment="1" applyProtection="1">
      <alignment horizontal="left" vertical="center" wrapText="1"/>
    </xf>
    <xf numFmtId="0" fontId="13" fillId="0" borderId="1" xfId="0" applyFont="1" applyBorder="1" applyAlignment="1" applyProtection="1">
      <alignment horizontal="left" vertical="top"/>
    </xf>
    <xf numFmtId="0" fontId="13" fillId="0" borderId="2" xfId="0" applyFont="1" applyBorder="1" applyAlignment="1" applyProtection="1">
      <alignment horizontal="left" vertical="top"/>
    </xf>
    <xf numFmtId="0" fontId="13" fillId="0" borderId="4" xfId="0" applyFont="1" applyBorder="1" applyAlignment="1" applyProtection="1">
      <alignment horizontal="left" vertical="top"/>
    </xf>
    <xf numFmtId="0" fontId="13" fillId="0" borderId="0" xfId="0" applyFont="1" applyBorder="1" applyAlignment="1" applyProtection="1">
      <alignment horizontal="left" vertical="top"/>
    </xf>
    <xf numFmtId="0" fontId="31" fillId="6" borderId="15" xfId="0" applyFont="1" applyFill="1" applyBorder="1" applyAlignment="1" applyProtection="1">
      <alignment horizontal="center" vertical="center" wrapText="1"/>
    </xf>
    <xf numFmtId="0" fontId="31" fillId="6" borderId="18" xfId="0" applyFont="1" applyFill="1" applyBorder="1" applyAlignment="1" applyProtection="1">
      <alignment horizontal="center" vertical="center" wrapText="1"/>
    </xf>
    <xf numFmtId="0" fontId="13" fillId="0" borderId="3" xfId="0" applyFont="1" applyBorder="1" applyAlignment="1" applyProtection="1">
      <alignment horizontal="left" vertical="top"/>
    </xf>
    <xf numFmtId="0" fontId="13" fillId="0" borderId="6" xfId="0" applyFont="1" applyBorder="1" applyAlignment="1" applyProtection="1">
      <alignment horizontal="left" vertical="top"/>
    </xf>
    <xf numFmtId="0" fontId="13" fillId="0" borderId="7" xfId="0" applyFont="1" applyBorder="1" applyAlignment="1" applyProtection="1">
      <alignment horizontal="left" vertical="top"/>
    </xf>
    <xf numFmtId="0" fontId="13" fillId="0" borderId="8" xfId="0" applyFont="1" applyBorder="1" applyAlignment="1" applyProtection="1">
      <alignment horizontal="left" vertical="top"/>
    </xf>
    <xf numFmtId="0" fontId="13" fillId="5" borderId="0" xfId="146" applyFont="1" applyFill="1" applyBorder="1" applyAlignment="1" applyProtection="1">
      <alignment horizontal="left"/>
      <protection locked="0"/>
    </xf>
    <xf numFmtId="0" fontId="28" fillId="2" borderId="0" xfId="0" applyFont="1" applyFill="1" applyBorder="1" applyAlignment="1" applyProtection="1">
      <alignment wrapText="1"/>
      <protection locked="0"/>
    </xf>
    <xf numFmtId="184" fontId="28" fillId="2" borderId="0" xfId="0" applyNumberFormat="1" applyFont="1" applyFill="1" applyBorder="1" applyAlignment="1" applyProtection="1">
      <alignment wrapText="1"/>
      <protection locked="0"/>
    </xf>
    <xf numFmtId="49" fontId="13" fillId="5" borderId="0" xfId="118" applyNumberFormat="1" applyFont="1" applyFill="1" applyBorder="1" applyAlignment="1" applyProtection="1">
      <alignment horizontal="right"/>
      <protection locked="0"/>
    </xf>
    <xf numFmtId="0" fontId="13" fillId="0" borderId="9" xfId="0" applyFont="1" applyBorder="1" applyAlignment="1" applyProtection="1">
      <alignment horizontal="left" vertical="top"/>
    </xf>
    <xf numFmtId="0" fontId="13" fillId="2" borderId="0" xfId="0" applyFont="1" applyFill="1" applyBorder="1" applyAlignment="1" applyProtection="1">
      <alignment horizontal="right"/>
      <protection locked="0"/>
    </xf>
    <xf numFmtId="0" fontId="22" fillId="0" borderId="0" xfId="139" applyFont="1">
      <alignment vertical="center"/>
    </xf>
    <xf numFmtId="0" fontId="22" fillId="0" borderId="0" xfId="139" applyFont="1" applyAlignment="1">
      <alignment horizontal="center" vertical="center"/>
    </xf>
    <xf numFmtId="0" fontId="32" fillId="0" borderId="0" xfId="139" applyFont="1" applyAlignment="1">
      <alignment vertical="center" wrapText="1"/>
    </xf>
    <xf numFmtId="0" fontId="32" fillId="0" borderId="0" xfId="139" applyFont="1">
      <alignment vertical="center"/>
    </xf>
    <xf numFmtId="0" fontId="21" fillId="0" borderId="10" xfId="139" applyFont="1" applyBorder="1" applyAlignment="1">
      <alignment horizontal="center" vertical="center"/>
    </xf>
    <xf numFmtId="0" fontId="21" fillId="0" borderId="38" xfId="139" applyFont="1" applyBorder="1" applyAlignment="1">
      <alignment horizontal="center" vertical="center"/>
    </xf>
    <xf numFmtId="0" fontId="23" fillId="6" borderId="14" xfId="139" applyFont="1" applyFill="1" applyBorder="1" applyAlignment="1">
      <alignment horizontal="center" vertical="center" wrapText="1"/>
    </xf>
    <xf numFmtId="0" fontId="23" fillId="6" borderId="16" xfId="139" applyFont="1" applyFill="1" applyBorder="1" applyAlignment="1">
      <alignment horizontal="center" vertical="center" wrapText="1"/>
    </xf>
    <xf numFmtId="0" fontId="15" fillId="0" borderId="17" xfId="139" applyFont="1" applyBorder="1" applyAlignment="1">
      <alignment vertical="center" wrapText="1"/>
    </xf>
    <xf numFmtId="0" fontId="15" fillId="0" borderId="5" xfId="139" applyFont="1" applyBorder="1" applyAlignment="1">
      <alignment horizontal="center" vertical="center"/>
    </xf>
    <xf numFmtId="14" fontId="15" fillId="0" borderId="5" xfId="139" applyNumberFormat="1" applyFont="1" applyBorder="1" applyAlignment="1">
      <alignment horizontal="center" vertical="center" wrapText="1"/>
    </xf>
    <xf numFmtId="0" fontId="15" fillId="0" borderId="5" xfId="139" applyFont="1" applyBorder="1" applyAlignment="1">
      <alignment vertical="center" wrapText="1"/>
    </xf>
    <xf numFmtId="0" fontId="15" fillId="0" borderId="22" xfId="139" applyFont="1" applyBorder="1" applyAlignment="1">
      <alignment vertical="center" wrapText="1"/>
    </xf>
    <xf numFmtId="0" fontId="15" fillId="0" borderId="23" xfId="139" applyFont="1" applyBorder="1" applyAlignment="1">
      <alignment horizontal="center" vertical="center"/>
    </xf>
    <xf numFmtId="0" fontId="15" fillId="0" borderId="23" xfId="139" applyFont="1" applyBorder="1" applyAlignment="1">
      <alignment vertical="center" wrapText="1"/>
    </xf>
    <xf numFmtId="0" fontId="13" fillId="0" borderId="0" xfId="139" applyFont="1" applyAlignment="1">
      <alignment vertical="center"/>
    </xf>
    <xf numFmtId="0" fontId="32" fillId="0" borderId="0" xfId="139" applyFont="1" applyAlignment="1">
      <alignment horizontal="center" vertical="center"/>
    </xf>
    <xf numFmtId="0" fontId="32" fillId="0" borderId="0" xfId="139" applyFont="1" applyAlignment="1">
      <alignment horizontal="right" vertical="center"/>
    </xf>
    <xf numFmtId="0" fontId="21" fillId="0" borderId="12" xfId="139" applyFont="1" applyBorder="1" applyAlignment="1">
      <alignment horizontal="center" vertical="center"/>
    </xf>
    <xf numFmtId="0" fontId="23" fillId="6" borderId="26" xfId="139" applyFont="1" applyFill="1" applyBorder="1" applyAlignment="1">
      <alignment horizontal="center" vertical="center" wrapText="1"/>
    </xf>
    <xf numFmtId="0" fontId="15" fillId="0" borderId="27" xfId="139" applyFont="1" applyBorder="1" applyAlignment="1">
      <alignment vertical="center" wrapText="1"/>
    </xf>
    <xf numFmtId="0" fontId="15" fillId="0" borderId="27" xfId="139" applyFont="1" applyBorder="1">
      <alignment vertical="center"/>
    </xf>
    <xf numFmtId="0" fontId="15" fillId="0" borderId="32" xfId="139" applyFont="1" applyBorder="1">
      <alignment vertical="center"/>
    </xf>
    <xf numFmtId="0" fontId="33" fillId="0" borderId="0" xfId="136" applyFont="1" applyAlignment="1">
      <alignment horizontal="center" vertical="center"/>
    </xf>
    <xf numFmtId="0" fontId="33" fillId="0" borderId="0" xfId="136" applyFont="1">
      <alignment vertical="center"/>
    </xf>
    <xf numFmtId="0" fontId="34" fillId="0" borderId="0" xfId="136" applyFont="1" applyBorder="1" applyAlignment="1" applyProtection="1">
      <alignment horizontal="center" vertical="center" wrapText="1"/>
      <protection hidden="1"/>
    </xf>
    <xf numFmtId="0" fontId="35" fillId="0" borderId="0" xfId="136" applyFont="1" applyBorder="1" applyAlignment="1" applyProtection="1">
      <alignment horizontal="center" vertical="center" wrapText="1"/>
      <protection hidden="1"/>
    </xf>
    <xf numFmtId="0" fontId="36" fillId="0" borderId="14" xfId="136" applyFont="1" applyFill="1" applyBorder="1" applyAlignment="1" applyProtection="1">
      <alignment horizontal="left" vertical="center"/>
      <protection hidden="1"/>
    </xf>
    <xf numFmtId="0" fontId="36" fillId="0" borderId="16" xfId="136" applyFont="1" applyFill="1" applyBorder="1" applyAlignment="1" applyProtection="1">
      <alignment horizontal="left" vertical="center"/>
      <protection hidden="1"/>
    </xf>
    <xf numFmtId="0" fontId="37" fillId="6" borderId="17" xfId="136" applyFont="1" applyFill="1" applyBorder="1" applyAlignment="1" applyProtection="1">
      <alignment horizontal="center" vertical="center"/>
      <protection hidden="1"/>
    </xf>
    <xf numFmtId="0" fontId="37" fillId="6" borderId="5" xfId="136" applyFont="1" applyFill="1" applyBorder="1" applyAlignment="1" applyProtection="1">
      <alignment horizontal="center" vertical="center"/>
      <protection hidden="1"/>
    </xf>
    <xf numFmtId="0" fontId="38" fillId="6" borderId="48" xfId="136" applyFont="1" applyFill="1" applyBorder="1" applyAlignment="1" applyProtection="1">
      <alignment horizontal="center" vertical="center"/>
      <protection hidden="1"/>
    </xf>
    <xf numFmtId="0" fontId="38" fillId="6" borderId="49" xfId="136" applyFont="1" applyFill="1" applyBorder="1" applyAlignment="1" applyProtection="1">
      <alignment horizontal="center" vertical="center"/>
      <protection hidden="1"/>
    </xf>
    <xf numFmtId="0" fontId="38" fillId="2" borderId="19" xfId="136" applyFont="1" applyFill="1" applyBorder="1" applyAlignment="1" applyProtection="1">
      <alignment horizontal="center" vertical="center"/>
      <protection hidden="1"/>
    </xf>
    <xf numFmtId="0" fontId="38" fillId="2" borderId="13" xfId="136" applyFont="1" applyFill="1" applyBorder="1" applyAlignment="1" applyProtection="1">
      <alignment horizontal="center" vertical="center"/>
      <protection hidden="1"/>
    </xf>
    <xf numFmtId="0" fontId="38" fillId="10" borderId="19" xfId="136" applyFont="1" applyFill="1" applyBorder="1" applyAlignment="1" applyProtection="1">
      <alignment horizontal="center" vertical="center"/>
      <protection hidden="1"/>
    </xf>
    <xf numFmtId="0" fontId="38" fillId="10" borderId="13" xfId="136" applyFont="1" applyFill="1" applyBorder="1" applyAlignment="1" applyProtection="1">
      <alignment horizontal="center" vertical="center"/>
      <protection hidden="1"/>
    </xf>
    <xf numFmtId="0" fontId="38" fillId="10" borderId="17" xfId="136" applyFont="1" applyFill="1" applyBorder="1" applyAlignment="1" applyProtection="1">
      <alignment horizontal="center" vertical="center"/>
      <protection hidden="1"/>
    </xf>
    <xf numFmtId="0" fontId="38" fillId="10" borderId="5" xfId="136" applyFont="1" applyFill="1" applyBorder="1" applyAlignment="1" applyProtection="1">
      <alignment horizontal="center" vertical="center"/>
      <protection hidden="1"/>
    </xf>
    <xf numFmtId="0" fontId="38" fillId="10" borderId="48" xfId="136" applyFont="1" applyFill="1" applyBorder="1" applyAlignment="1" applyProtection="1">
      <alignment horizontal="center" vertical="center"/>
      <protection hidden="1"/>
    </xf>
    <xf numFmtId="0" fontId="38" fillId="10" borderId="49" xfId="136" applyFont="1" applyFill="1" applyBorder="1" applyAlignment="1" applyProtection="1">
      <alignment horizontal="center" vertical="center"/>
      <protection hidden="1"/>
    </xf>
    <xf numFmtId="0" fontId="38" fillId="6" borderId="50" xfId="136" applyFont="1" applyFill="1" applyBorder="1" applyAlignment="1" applyProtection="1">
      <alignment horizontal="center" vertical="center"/>
      <protection hidden="1"/>
    </xf>
    <xf numFmtId="0" fontId="38" fillId="6" borderId="51" xfId="136" applyFont="1" applyFill="1" applyBorder="1" applyAlignment="1" applyProtection="1">
      <alignment horizontal="center" vertical="center"/>
      <protection hidden="1"/>
    </xf>
    <xf numFmtId="0" fontId="36" fillId="0" borderId="19" xfId="136" applyFont="1" applyBorder="1" applyAlignment="1" applyProtection="1">
      <alignment horizontal="left" vertical="center"/>
      <protection hidden="1"/>
    </xf>
    <xf numFmtId="0" fontId="36" fillId="0" borderId="13" xfId="136" applyFont="1" applyBorder="1" applyAlignment="1" applyProtection="1">
      <alignment horizontal="left" vertical="center"/>
      <protection hidden="1"/>
    </xf>
    <xf numFmtId="0" fontId="38" fillId="6" borderId="52" xfId="136" applyFont="1" applyFill="1" applyBorder="1" applyAlignment="1" applyProtection="1">
      <alignment horizontal="left" vertical="center"/>
      <protection hidden="1"/>
    </xf>
    <xf numFmtId="0" fontId="38" fillId="6" borderId="21" xfId="136" applyFont="1" applyFill="1" applyBorder="1" applyAlignment="1" applyProtection="1">
      <alignment horizontal="left" vertical="center"/>
      <protection hidden="1"/>
    </xf>
    <xf numFmtId="0" fontId="38" fillId="6" borderId="17" xfId="136" applyFont="1" applyFill="1" applyBorder="1" applyAlignment="1" applyProtection="1">
      <alignment horizontal="center" vertical="center"/>
      <protection hidden="1"/>
    </xf>
    <xf numFmtId="0" fontId="38" fillId="6" borderId="5" xfId="136" applyFont="1" applyFill="1" applyBorder="1" applyAlignment="1" applyProtection="1">
      <alignment horizontal="center" vertical="center"/>
      <protection hidden="1"/>
    </xf>
    <xf numFmtId="0" fontId="15" fillId="0" borderId="17" xfId="136" applyFont="1" applyBorder="1" applyAlignment="1" applyProtection="1">
      <alignment horizontal="center" vertical="center"/>
      <protection hidden="1"/>
    </xf>
    <xf numFmtId="0" fontId="15" fillId="0" borderId="5" xfId="136" applyFont="1" applyBorder="1" applyAlignment="1" applyProtection="1">
      <alignment horizontal="center" vertical="center"/>
      <protection hidden="1"/>
    </xf>
    <xf numFmtId="0" fontId="38" fillId="0" borderId="17" xfId="136" applyFont="1" applyBorder="1" applyAlignment="1" applyProtection="1">
      <alignment horizontal="center" vertical="center"/>
      <protection hidden="1"/>
    </xf>
    <xf numFmtId="0" fontId="38" fillId="0" borderId="5" xfId="136" applyFont="1" applyBorder="1" applyAlignment="1" applyProtection="1">
      <alignment horizontal="center" vertical="center"/>
      <protection hidden="1"/>
    </xf>
    <xf numFmtId="0" fontId="23" fillId="0" borderId="53" xfId="136" applyFont="1" applyBorder="1" applyAlignment="1" applyProtection="1">
      <alignment horizontal="left" vertical="center"/>
      <protection hidden="1"/>
    </xf>
    <xf numFmtId="0" fontId="23" fillId="0" borderId="43" xfId="136" applyFont="1" applyBorder="1" applyAlignment="1" applyProtection="1">
      <alignment horizontal="left" vertical="center"/>
      <protection hidden="1"/>
    </xf>
    <xf numFmtId="0" fontId="0" fillId="0" borderId="52" xfId="0" applyBorder="1" applyAlignment="1">
      <alignment horizontal="center"/>
    </xf>
    <xf numFmtId="0" fontId="0" fillId="0" borderId="21" xfId="0" applyBorder="1" applyAlignment="1">
      <alignment horizontal="center"/>
    </xf>
    <xf numFmtId="0" fontId="38" fillId="0" borderId="20" xfId="136" applyFont="1" applyBorder="1" applyAlignment="1">
      <alignment horizontal="center" vertical="center"/>
    </xf>
    <xf numFmtId="0" fontId="38" fillId="0" borderId="21" xfId="136" applyFont="1" applyBorder="1" applyAlignment="1">
      <alignment horizontal="center" vertical="center"/>
    </xf>
    <xf numFmtId="0" fontId="38" fillId="0" borderId="52" xfId="136" applyFont="1" applyBorder="1" applyAlignment="1" applyProtection="1">
      <alignment horizontal="center" vertical="center"/>
      <protection hidden="1"/>
    </xf>
    <xf numFmtId="0" fontId="38" fillId="0" borderId="21" xfId="136" applyFont="1" applyBorder="1" applyAlignment="1" applyProtection="1">
      <alignment horizontal="center" vertical="center"/>
      <protection hidden="1"/>
    </xf>
    <xf numFmtId="0" fontId="38" fillId="0" borderId="54" xfId="136" applyFont="1" applyBorder="1" applyAlignment="1" applyProtection="1">
      <alignment horizontal="center" vertical="center"/>
      <protection hidden="1"/>
    </xf>
    <xf numFmtId="0" fontId="38" fillId="0" borderId="55" xfId="136" applyFont="1" applyBorder="1" applyAlignment="1" applyProtection="1">
      <alignment horizontal="center" vertical="center"/>
      <protection hidden="1"/>
    </xf>
    <xf numFmtId="0" fontId="39" fillId="2" borderId="56" xfId="136" applyFont="1" applyFill="1" applyBorder="1" applyAlignment="1" applyProtection="1">
      <alignment horizontal="center" vertical="center" wrapText="1"/>
      <protection hidden="1"/>
    </xf>
    <xf numFmtId="0" fontId="39" fillId="2" borderId="57" xfId="136" applyFont="1" applyFill="1" applyBorder="1" applyAlignment="1" applyProtection="1">
      <alignment horizontal="center" vertical="center" wrapText="1"/>
      <protection hidden="1"/>
    </xf>
    <xf numFmtId="0" fontId="38" fillId="6" borderId="17" xfId="136" applyFont="1" applyFill="1" applyBorder="1" applyAlignment="1" applyProtection="1">
      <alignment horizontal="center" vertical="center" textRotation="90"/>
      <protection hidden="1"/>
    </xf>
    <xf numFmtId="0" fontId="38" fillId="6" borderId="5" xfId="136" applyFont="1" applyFill="1" applyBorder="1" applyAlignment="1" applyProtection="1">
      <alignment horizontal="center" vertical="center" textRotation="90"/>
      <protection hidden="1"/>
    </xf>
    <xf numFmtId="0" fontId="36" fillId="0" borderId="40" xfId="136" applyFont="1" applyBorder="1" applyAlignment="1" applyProtection="1">
      <alignment horizontal="center" vertical="top"/>
      <protection hidden="1"/>
    </xf>
    <xf numFmtId="0" fontId="36" fillId="0" borderId="44" xfId="136" applyFont="1" applyBorder="1" applyAlignment="1" applyProtection="1">
      <alignment horizontal="center" vertical="top"/>
      <protection hidden="1"/>
    </xf>
    <xf numFmtId="0" fontId="36" fillId="0" borderId="12" xfId="136" applyFont="1" applyBorder="1" applyAlignment="1" applyProtection="1">
      <alignment horizontal="center" vertical="top"/>
      <protection hidden="1"/>
    </xf>
    <xf numFmtId="0" fontId="36" fillId="0" borderId="0" xfId="136" applyFont="1" applyBorder="1" applyAlignment="1" applyProtection="1">
      <alignment horizontal="center" vertical="top"/>
      <protection hidden="1"/>
    </xf>
    <xf numFmtId="0" fontId="36" fillId="0" borderId="36" xfId="136" applyFont="1" applyBorder="1" applyAlignment="1" applyProtection="1">
      <alignment horizontal="center" vertical="top"/>
      <protection hidden="1"/>
    </xf>
    <xf numFmtId="0" fontId="36" fillId="0" borderId="43" xfId="136" applyFont="1" applyBorder="1" applyAlignment="1" applyProtection="1">
      <alignment horizontal="center" vertical="top"/>
      <protection hidden="1"/>
    </xf>
    <xf numFmtId="0" fontId="38" fillId="6" borderId="4" xfId="136" applyFont="1" applyFill="1" applyBorder="1" applyAlignment="1" applyProtection="1">
      <alignment horizontal="center" vertical="center" textRotation="90" wrapText="1"/>
      <protection hidden="1"/>
    </xf>
    <xf numFmtId="0" fontId="38" fillId="6" borderId="0" xfId="136" applyFont="1" applyFill="1" applyBorder="1" applyAlignment="1" applyProtection="1">
      <alignment horizontal="center" vertical="center" textRotation="90" wrapText="1"/>
      <protection hidden="1"/>
    </xf>
    <xf numFmtId="0" fontId="38" fillId="6" borderId="10" xfId="136" applyFont="1" applyFill="1" applyBorder="1" applyAlignment="1" applyProtection="1">
      <alignment horizontal="center" vertical="center" textRotation="90" wrapText="1"/>
      <protection hidden="1"/>
    </xf>
    <xf numFmtId="0" fontId="38" fillId="6" borderId="13" xfId="136" applyFont="1" applyFill="1" applyBorder="1" applyAlignment="1" applyProtection="1">
      <alignment horizontal="center" vertical="center" wrapText="1"/>
      <protection hidden="1"/>
    </xf>
    <xf numFmtId="0" fontId="38" fillId="0" borderId="20" xfId="136" applyFont="1" applyBorder="1" applyAlignment="1" applyProtection="1">
      <alignment horizontal="center" vertical="center"/>
      <protection hidden="1"/>
    </xf>
    <xf numFmtId="0" fontId="38" fillId="0" borderId="18" xfId="136" applyFont="1" applyBorder="1" applyAlignment="1" applyProtection="1">
      <alignment horizontal="center" vertical="center"/>
      <protection hidden="1"/>
    </xf>
    <xf numFmtId="0" fontId="38" fillId="6" borderId="58" xfId="136" applyFont="1" applyFill="1" applyBorder="1" applyAlignment="1" applyProtection="1">
      <alignment horizontal="center" vertical="center" textRotation="90" wrapText="1"/>
      <protection hidden="1"/>
    </xf>
    <xf numFmtId="0" fontId="38" fillId="6" borderId="59" xfId="136" applyFont="1" applyFill="1" applyBorder="1" applyAlignment="1" applyProtection="1">
      <alignment horizontal="center" vertical="center" textRotation="90" wrapText="1"/>
      <protection hidden="1"/>
    </xf>
    <xf numFmtId="0" fontId="38" fillId="6" borderId="60" xfId="136" applyFont="1" applyFill="1" applyBorder="1" applyAlignment="1" applyProtection="1">
      <alignment horizontal="center" vertical="center" textRotation="90" wrapText="1"/>
      <protection hidden="1"/>
    </xf>
    <xf numFmtId="0" fontId="36" fillId="0" borderId="61" xfId="136" applyFont="1" applyBorder="1" applyAlignment="1" applyProtection="1">
      <alignment horizontal="left" vertical="center"/>
      <protection hidden="1"/>
    </xf>
    <xf numFmtId="0" fontId="36" fillId="0" borderId="62" xfId="136" applyFont="1" applyBorder="1" applyAlignment="1" applyProtection="1">
      <alignment horizontal="left" vertical="center"/>
      <protection hidden="1"/>
    </xf>
    <xf numFmtId="0" fontId="38" fillId="0" borderId="52" xfId="136" applyFont="1" applyBorder="1" applyAlignment="1" applyProtection="1">
      <alignment horizontal="left" vertical="center"/>
      <protection hidden="1"/>
    </xf>
    <xf numFmtId="0" fontId="38" fillId="0" borderId="21" xfId="136" applyFont="1" applyBorder="1" applyAlignment="1" applyProtection="1">
      <alignment horizontal="left" vertical="center"/>
      <protection hidden="1"/>
    </xf>
    <xf numFmtId="0" fontId="38" fillId="8" borderId="5" xfId="136" applyFont="1" applyFill="1" applyBorder="1" applyAlignment="1" applyProtection="1">
      <alignment horizontal="center" vertical="center"/>
      <protection hidden="1"/>
    </xf>
    <xf numFmtId="0" fontId="38" fillId="6" borderId="17" xfId="136" applyFont="1" applyFill="1" applyBorder="1" applyAlignment="1" applyProtection="1">
      <alignment horizontal="center" vertical="center"/>
      <protection locked="0"/>
    </xf>
    <xf numFmtId="0" fontId="38" fillId="6" borderId="5" xfId="136" applyFont="1" applyFill="1" applyBorder="1" applyAlignment="1" applyProtection="1">
      <alignment horizontal="center" vertical="center"/>
      <protection locked="0"/>
    </xf>
    <xf numFmtId="0" fontId="38" fillId="0" borderId="20" xfId="136" applyFont="1" applyBorder="1" applyAlignment="1" applyProtection="1">
      <alignment horizontal="center" vertical="center"/>
      <protection locked="0"/>
    </xf>
    <xf numFmtId="0" fontId="38" fillId="0" borderId="21" xfId="136" applyFont="1" applyBorder="1" applyAlignment="1" applyProtection="1">
      <alignment horizontal="center" vertical="center"/>
      <protection locked="0"/>
    </xf>
    <xf numFmtId="0" fontId="37" fillId="2" borderId="20" xfId="136" applyFont="1" applyFill="1" applyBorder="1" applyAlignment="1" applyProtection="1">
      <alignment horizontal="center" vertical="center"/>
      <protection hidden="1"/>
    </xf>
    <xf numFmtId="0" fontId="37" fillId="2" borderId="21" xfId="136" applyFont="1" applyFill="1" applyBorder="1" applyAlignment="1" applyProtection="1">
      <alignment horizontal="center" vertical="center"/>
      <protection hidden="1"/>
    </xf>
    <xf numFmtId="0" fontId="38" fillId="2" borderId="63" xfId="136" applyFont="1" applyFill="1" applyBorder="1" applyAlignment="1" applyProtection="1">
      <alignment horizontal="center" vertical="center"/>
      <protection hidden="1"/>
    </xf>
    <xf numFmtId="0" fontId="38" fillId="2" borderId="55" xfId="136" applyFont="1" applyFill="1" applyBorder="1" applyAlignment="1" applyProtection="1">
      <alignment horizontal="center" vertical="center"/>
      <protection hidden="1"/>
    </xf>
    <xf numFmtId="0" fontId="38" fillId="0" borderId="13" xfId="136" applyFont="1" applyBorder="1" applyAlignment="1" applyProtection="1">
      <alignment horizontal="center" vertical="center"/>
      <protection hidden="1"/>
    </xf>
    <xf numFmtId="0" fontId="38" fillId="0" borderId="49" xfId="136" applyFont="1" applyBorder="1" applyAlignment="1" applyProtection="1">
      <alignment horizontal="center" vertical="center"/>
      <protection hidden="1"/>
    </xf>
    <xf numFmtId="0" fontId="38" fillId="6" borderId="18" xfId="136" applyFont="1" applyFill="1" applyBorder="1" applyAlignment="1" applyProtection="1">
      <alignment horizontal="left" vertical="center"/>
      <protection hidden="1"/>
    </xf>
    <xf numFmtId="0" fontId="0" fillId="0" borderId="18" xfId="0" applyBorder="1" applyAlignment="1">
      <alignment horizontal="center"/>
    </xf>
    <xf numFmtId="0" fontId="38" fillId="2" borderId="40" xfId="136" applyFont="1" applyFill="1" applyBorder="1" applyAlignment="1" applyProtection="1">
      <alignment horizontal="center" vertical="center"/>
      <protection hidden="1"/>
    </xf>
    <xf numFmtId="0" fontId="38" fillId="0" borderId="18" xfId="136" applyFont="1" applyBorder="1" applyAlignment="1">
      <alignment horizontal="center" vertical="center"/>
    </xf>
    <xf numFmtId="0" fontId="38" fillId="2" borderId="12" xfId="136" applyFont="1" applyFill="1" applyBorder="1" applyAlignment="1" applyProtection="1">
      <alignment horizontal="center" vertical="center"/>
      <protection hidden="1"/>
    </xf>
    <xf numFmtId="0" fontId="38" fillId="0" borderId="64" xfId="136" applyFont="1" applyBorder="1" applyAlignment="1" applyProtection="1">
      <alignment horizontal="center" vertical="center"/>
      <protection hidden="1"/>
    </xf>
    <xf numFmtId="0" fontId="38" fillId="2" borderId="65" xfId="136" applyFont="1" applyFill="1" applyBorder="1" applyAlignment="1" applyProtection="1">
      <alignment horizontal="center" vertical="center"/>
      <protection hidden="1"/>
    </xf>
    <xf numFmtId="0" fontId="38" fillId="0" borderId="44" xfId="136" applyFont="1" applyBorder="1" applyAlignment="1" applyProtection="1">
      <alignment horizontal="center" vertical="center"/>
      <protection hidden="1"/>
    </xf>
    <xf numFmtId="0" fontId="38" fillId="0" borderId="0" xfId="136" applyFont="1" applyBorder="1" applyAlignment="1" applyProtection="1">
      <alignment horizontal="center" vertical="center"/>
      <protection hidden="1"/>
    </xf>
    <xf numFmtId="0" fontId="38" fillId="0" borderId="43" xfId="136" applyFont="1" applyBorder="1" applyAlignment="1" applyProtection="1">
      <alignment horizontal="center" vertical="center"/>
      <protection hidden="1"/>
    </xf>
    <xf numFmtId="0" fontId="38" fillId="2" borderId="13" xfId="136" applyFont="1" applyFill="1" applyBorder="1" applyAlignment="1" applyProtection="1">
      <alignment horizontal="center" vertical="center" wrapText="1"/>
      <protection hidden="1"/>
    </xf>
    <xf numFmtId="0" fontId="38" fillId="0" borderId="18" xfId="136" applyFont="1" applyBorder="1" applyAlignment="1" applyProtection="1">
      <alignment horizontal="center" vertical="center"/>
      <protection locked="0"/>
    </xf>
    <xf numFmtId="0" fontId="38" fillId="8" borderId="20" xfId="136" applyFont="1" applyFill="1" applyBorder="1" applyAlignment="1" applyProtection="1">
      <alignment horizontal="center" vertical="center"/>
      <protection locked="0"/>
    </xf>
    <xf numFmtId="0" fontId="38" fillId="8" borderId="21" xfId="136" applyFont="1" applyFill="1" applyBorder="1" applyAlignment="1" applyProtection="1">
      <alignment horizontal="center" vertical="center"/>
      <protection locked="0"/>
    </xf>
    <xf numFmtId="0" fontId="38" fillId="8" borderId="18" xfId="136" applyFont="1" applyFill="1" applyBorder="1" applyAlignment="1" applyProtection="1">
      <alignment horizontal="center" vertical="center"/>
      <protection locked="0"/>
    </xf>
    <xf numFmtId="0" fontId="37" fillId="2" borderId="18" xfId="136" applyFont="1" applyFill="1" applyBorder="1" applyAlignment="1" applyProtection="1">
      <alignment horizontal="center" vertical="center"/>
      <protection hidden="1"/>
    </xf>
    <xf numFmtId="0" fontId="38" fillId="6" borderId="20" xfId="136" applyFont="1" applyFill="1" applyBorder="1" applyAlignment="1" applyProtection="1">
      <alignment horizontal="center" vertical="center"/>
      <protection hidden="1"/>
    </xf>
    <xf numFmtId="0" fontId="38" fillId="6" borderId="21" xfId="136" applyFont="1" applyFill="1" applyBorder="1" applyAlignment="1" applyProtection="1">
      <alignment horizontal="center" vertical="center"/>
      <protection hidden="1"/>
    </xf>
    <xf numFmtId="0" fontId="38" fillId="8" borderId="49" xfId="136" applyFont="1" applyFill="1" applyBorder="1" applyAlignment="1" applyProtection="1">
      <alignment horizontal="center" vertical="center"/>
      <protection hidden="1"/>
    </xf>
    <xf numFmtId="0" fontId="38" fillId="8" borderId="13" xfId="136" applyFont="1" applyFill="1" applyBorder="1" applyAlignment="1" applyProtection="1">
      <alignment horizontal="center" vertical="center"/>
      <protection hidden="1"/>
    </xf>
    <xf numFmtId="0" fontId="37" fillId="8" borderId="63" xfId="136" applyFont="1" applyFill="1" applyBorder="1" applyAlignment="1" applyProtection="1">
      <alignment horizontal="center" vertical="center"/>
      <protection hidden="1"/>
    </xf>
    <xf numFmtId="0" fontId="37" fillId="8" borderId="55" xfId="136" applyFont="1" applyFill="1" applyBorder="1" applyAlignment="1" applyProtection="1">
      <alignment horizontal="center" vertical="center"/>
      <protection hidden="1"/>
    </xf>
    <xf numFmtId="0" fontId="37" fillId="8" borderId="64" xfId="136" applyFont="1" applyFill="1" applyBorder="1" applyAlignment="1" applyProtection="1">
      <alignment horizontal="center" vertical="center"/>
      <protection hidden="1"/>
    </xf>
    <xf numFmtId="0" fontId="38" fillId="0" borderId="51" xfId="136" applyFont="1" applyFill="1" applyBorder="1" applyAlignment="1">
      <alignment horizontal="center" vertical="center"/>
    </xf>
    <xf numFmtId="0" fontId="40" fillId="6" borderId="51" xfId="136" applyFont="1" applyFill="1" applyBorder="1" applyAlignment="1" applyProtection="1">
      <alignment horizontal="center" vertical="center"/>
      <protection hidden="1"/>
    </xf>
    <xf numFmtId="0" fontId="39" fillId="8" borderId="5" xfId="136" applyFont="1" applyFill="1" applyBorder="1" applyAlignment="1" applyProtection="1">
      <alignment horizontal="center" vertical="center"/>
      <protection hidden="1"/>
    </xf>
    <xf numFmtId="0" fontId="38" fillId="2" borderId="44" xfId="136" applyFont="1" applyFill="1" applyBorder="1" applyAlignment="1" applyProtection="1">
      <alignment horizontal="center" vertical="center"/>
      <protection hidden="1"/>
    </xf>
    <xf numFmtId="0" fontId="38" fillId="2" borderId="0" xfId="136" applyFont="1" applyFill="1" applyBorder="1" applyAlignment="1" applyProtection="1">
      <alignment horizontal="center" vertical="center"/>
      <protection hidden="1"/>
    </xf>
    <xf numFmtId="0" fontId="38" fillId="2" borderId="59" xfId="136" applyFont="1" applyFill="1" applyBorder="1" applyAlignment="1" applyProtection="1">
      <alignment horizontal="center" vertical="center"/>
      <protection hidden="1"/>
    </xf>
    <xf numFmtId="0" fontId="39" fillId="8" borderId="13" xfId="136" applyFont="1" applyFill="1" applyBorder="1" applyAlignment="1" applyProtection="1">
      <alignment horizontal="center" vertical="center"/>
      <protection hidden="1"/>
    </xf>
    <xf numFmtId="0" fontId="38" fillId="6" borderId="20" xfId="136" applyFont="1" applyFill="1" applyBorder="1" applyAlignment="1" applyProtection="1">
      <alignment horizontal="center" vertical="center"/>
      <protection locked="0"/>
    </xf>
    <xf numFmtId="0" fontId="38" fillId="6" borderId="21" xfId="136" applyFont="1" applyFill="1" applyBorder="1" applyAlignment="1" applyProtection="1">
      <alignment horizontal="center" vertical="center"/>
      <protection locked="0"/>
    </xf>
    <xf numFmtId="0" fontId="38" fillId="6" borderId="18" xfId="136" applyFont="1" applyFill="1" applyBorder="1" applyAlignment="1" applyProtection="1">
      <alignment horizontal="center" vertical="center"/>
      <protection locked="0"/>
    </xf>
    <xf numFmtId="0" fontId="38" fillId="6" borderId="18" xfId="136" applyFont="1" applyFill="1" applyBorder="1" applyAlignment="1" applyProtection="1">
      <alignment horizontal="center" vertical="center"/>
      <protection hidden="1"/>
    </xf>
    <xf numFmtId="0" fontId="38" fillId="2" borderId="20" xfId="136" applyFont="1" applyFill="1" applyBorder="1" applyAlignment="1" applyProtection="1">
      <alignment horizontal="center" vertical="center"/>
      <protection hidden="1"/>
    </xf>
    <xf numFmtId="0" fontId="38" fillId="2" borderId="21" xfId="136" applyFont="1" applyFill="1" applyBorder="1" applyAlignment="1" applyProtection="1">
      <alignment horizontal="center" vertical="center"/>
      <protection hidden="1"/>
    </xf>
    <xf numFmtId="0" fontId="38" fillId="2" borderId="36" xfId="136" applyFont="1" applyFill="1" applyBorder="1" applyAlignment="1" applyProtection="1">
      <alignment horizontal="center" vertical="center"/>
      <protection hidden="1"/>
    </xf>
    <xf numFmtId="0" fontId="38" fillId="2" borderId="43" xfId="136" applyFont="1" applyFill="1" applyBorder="1" applyAlignment="1" applyProtection="1">
      <alignment horizontal="center" vertical="center"/>
      <protection hidden="1"/>
    </xf>
    <xf numFmtId="0" fontId="38" fillId="2" borderId="0" xfId="136" applyFont="1" applyFill="1" applyBorder="1" applyAlignment="1" applyProtection="1">
      <alignment vertical="center"/>
      <protection hidden="1"/>
    </xf>
    <xf numFmtId="0" fontId="38" fillId="2" borderId="0" xfId="136" applyFont="1" applyFill="1" applyBorder="1" applyProtection="1">
      <alignment vertical="center"/>
      <protection hidden="1"/>
    </xf>
    <xf numFmtId="0" fontId="38" fillId="0" borderId="18" xfId="136" applyFont="1" applyBorder="1" applyAlignment="1" applyProtection="1">
      <alignment horizontal="left" vertical="center"/>
      <protection hidden="1"/>
    </xf>
    <xf numFmtId="0" fontId="38" fillId="2" borderId="18" xfId="136" applyFont="1" applyFill="1" applyBorder="1" applyAlignment="1" applyProtection="1">
      <alignment horizontal="center" vertical="center"/>
      <protection hidden="1"/>
    </xf>
    <xf numFmtId="0" fontId="38" fillId="2" borderId="64" xfId="136" applyFont="1" applyFill="1" applyBorder="1" applyAlignment="1" applyProtection="1">
      <alignment horizontal="center" vertical="center"/>
      <protection hidden="1"/>
    </xf>
    <xf numFmtId="0" fontId="38" fillId="2" borderId="37" xfId="136" applyFont="1" applyFill="1" applyBorder="1" applyAlignment="1" applyProtection="1">
      <alignment horizontal="center" vertical="center"/>
      <protection hidden="1"/>
    </xf>
    <xf numFmtId="0" fontId="38" fillId="2" borderId="51" xfId="136" applyFont="1" applyFill="1" applyBorder="1" applyAlignment="1" applyProtection="1">
      <alignment horizontal="center" vertical="center"/>
      <protection hidden="1"/>
    </xf>
    <xf numFmtId="0" fontId="38" fillId="0" borderId="43" xfId="0" applyFont="1" applyBorder="1" applyAlignment="1">
      <alignment horizontal="center"/>
    </xf>
    <xf numFmtId="0" fontId="38" fillId="0" borderId="5" xfId="136" applyFont="1" applyBorder="1" applyAlignment="1">
      <alignment horizontal="center" vertical="center"/>
    </xf>
    <xf numFmtId="0" fontId="38" fillId="10" borderId="5" xfId="136" applyFont="1" applyFill="1" applyBorder="1" applyAlignment="1">
      <alignment horizontal="center" vertical="center"/>
    </xf>
    <xf numFmtId="0" fontId="38" fillId="8" borderId="5" xfId="136" applyFont="1" applyFill="1" applyBorder="1" applyAlignment="1">
      <alignment horizontal="center" vertical="center"/>
    </xf>
    <xf numFmtId="0" fontId="38" fillId="6" borderId="63" xfId="136" applyFont="1" applyFill="1" applyBorder="1" applyAlignment="1" applyProtection="1">
      <alignment horizontal="center" vertical="center"/>
      <protection hidden="1"/>
    </xf>
    <xf numFmtId="0" fontId="38" fillId="6" borderId="55" xfId="136" applyFont="1" applyFill="1" applyBorder="1" applyAlignment="1" applyProtection="1">
      <alignment horizontal="center" vertical="center"/>
      <protection hidden="1"/>
    </xf>
    <xf numFmtId="0" fontId="39" fillId="0" borderId="20" xfId="136" applyFont="1" applyBorder="1" applyAlignment="1" applyProtection="1">
      <alignment horizontal="center" vertical="center"/>
      <protection hidden="1"/>
    </xf>
    <xf numFmtId="0" fontId="39" fillId="0" borderId="21" xfId="136" applyFont="1" applyBorder="1" applyAlignment="1" applyProtection="1">
      <alignment horizontal="center" vertical="center"/>
      <protection hidden="1"/>
    </xf>
    <xf numFmtId="0" fontId="38" fillId="2" borderId="5" xfId="136" applyFont="1" applyFill="1" applyBorder="1" applyAlignment="1" applyProtection="1">
      <alignment horizontal="center" vertical="center"/>
      <protection hidden="1"/>
    </xf>
    <xf numFmtId="0" fontId="38" fillId="0" borderId="51" xfId="136" applyFont="1" applyFill="1" applyBorder="1" applyAlignment="1" applyProtection="1">
      <alignment horizontal="center" vertical="center"/>
      <protection hidden="1"/>
    </xf>
    <xf numFmtId="0" fontId="33" fillId="0" borderId="0" xfId="0" applyFont="1"/>
    <xf numFmtId="0" fontId="36" fillId="0" borderId="26" xfId="136" applyFont="1" applyFill="1" applyBorder="1" applyAlignment="1" applyProtection="1">
      <alignment horizontal="left" vertical="center"/>
      <protection hidden="1"/>
    </xf>
    <xf numFmtId="0" fontId="38" fillId="2" borderId="28" xfId="136" applyFont="1" applyFill="1" applyBorder="1" applyAlignment="1" applyProtection="1">
      <alignment horizontal="center" vertical="center"/>
      <protection hidden="1"/>
    </xf>
    <xf numFmtId="0" fontId="38" fillId="6" borderId="66" xfId="136" applyFont="1" applyFill="1" applyBorder="1" applyAlignment="1" applyProtection="1">
      <alignment horizontal="center" vertical="center"/>
      <protection hidden="1"/>
    </xf>
    <xf numFmtId="0" fontId="38" fillId="2" borderId="47" xfId="136" applyFont="1" applyFill="1" applyBorder="1" applyAlignment="1" applyProtection="1">
      <alignment horizontal="center" vertical="center"/>
      <protection hidden="1"/>
    </xf>
    <xf numFmtId="0" fontId="38" fillId="2" borderId="45" xfId="136" applyFont="1" applyFill="1" applyBorder="1" applyAlignment="1" applyProtection="1">
      <alignment horizontal="center" vertical="center"/>
      <protection hidden="1"/>
    </xf>
    <xf numFmtId="0" fontId="38" fillId="10" borderId="27" xfId="136" applyFont="1" applyFill="1" applyBorder="1" applyAlignment="1" applyProtection="1">
      <alignment horizontal="center" vertical="center"/>
      <protection hidden="1"/>
    </xf>
    <xf numFmtId="0" fontId="38" fillId="2" borderId="27" xfId="136" applyFont="1" applyFill="1" applyBorder="1" applyAlignment="1" applyProtection="1">
      <alignment horizontal="center" vertical="center"/>
      <protection hidden="1"/>
    </xf>
    <xf numFmtId="0" fontId="38" fillId="8" borderId="27" xfId="136" applyFont="1" applyFill="1" applyBorder="1" applyAlignment="1" applyProtection="1">
      <alignment horizontal="center" vertical="center"/>
      <protection hidden="1"/>
    </xf>
    <xf numFmtId="0" fontId="37" fillId="8" borderId="66" xfId="136" applyFont="1" applyFill="1" applyBorder="1" applyAlignment="1" applyProtection="1">
      <alignment horizontal="center" vertical="center"/>
      <protection hidden="1"/>
    </xf>
    <xf numFmtId="0" fontId="38" fillId="0" borderId="67" xfId="136" applyFont="1" applyFill="1" applyBorder="1" applyAlignment="1" applyProtection="1">
      <alignment horizontal="center" vertical="center"/>
      <protection hidden="1"/>
    </xf>
    <xf numFmtId="0" fontId="36" fillId="0" borderId="47" xfId="136" applyFont="1" applyBorder="1" applyAlignment="1" applyProtection="1">
      <alignment horizontal="left" vertical="center"/>
      <protection hidden="1"/>
    </xf>
    <xf numFmtId="0" fontId="39" fillId="0" borderId="28" xfId="136" applyFont="1" applyBorder="1" applyAlignment="1" applyProtection="1">
      <alignment horizontal="center" vertical="center"/>
      <protection hidden="1"/>
    </xf>
    <xf numFmtId="0" fontId="38" fillId="0" borderId="27" xfId="136" applyFont="1" applyBorder="1" applyAlignment="1" applyProtection="1">
      <alignment horizontal="center" vertical="center"/>
      <protection hidden="1"/>
    </xf>
    <xf numFmtId="0" fontId="15" fillId="0" borderId="27" xfId="136" applyFont="1" applyBorder="1" applyAlignment="1" applyProtection="1">
      <alignment horizontal="center" vertical="center"/>
      <protection hidden="1"/>
    </xf>
    <xf numFmtId="0" fontId="23" fillId="0" borderId="45" xfId="136" applyFont="1" applyBorder="1" applyAlignment="1" applyProtection="1">
      <alignment horizontal="left" vertical="center"/>
      <protection hidden="1"/>
    </xf>
    <xf numFmtId="0" fontId="38" fillId="2" borderId="68" xfId="136" applyFont="1" applyFill="1" applyBorder="1" applyAlignment="1" applyProtection="1">
      <alignment horizontal="center" vertical="center"/>
      <protection hidden="1"/>
    </xf>
    <xf numFmtId="0" fontId="38" fillId="2" borderId="6" xfId="136" applyFont="1" applyFill="1" applyBorder="1" applyAlignment="1" applyProtection="1">
      <alignment vertical="center"/>
      <protection hidden="1"/>
    </xf>
    <xf numFmtId="0" fontId="38" fillId="2" borderId="0" xfId="136" applyFont="1" applyFill="1" applyBorder="1" applyAlignment="1" applyProtection="1">
      <alignment horizontal="left" vertical="center"/>
      <protection hidden="1"/>
    </xf>
    <xf numFmtId="0" fontId="38" fillId="2" borderId="6" xfId="136" applyFont="1" applyFill="1" applyBorder="1" applyAlignment="1" applyProtection="1">
      <alignment horizontal="left" vertical="center"/>
      <protection hidden="1"/>
    </xf>
    <xf numFmtId="0" fontId="38" fillId="2" borderId="59" xfId="136" applyFont="1" applyFill="1" applyBorder="1" applyAlignment="1" applyProtection="1">
      <alignment vertical="center"/>
      <protection hidden="1"/>
    </xf>
    <xf numFmtId="0" fontId="38" fillId="2" borderId="59" xfId="136" applyFont="1" applyFill="1" applyBorder="1" applyProtection="1">
      <alignment vertical="center"/>
      <protection hidden="1"/>
    </xf>
    <xf numFmtId="0" fontId="38" fillId="2" borderId="69" xfId="136" applyFont="1" applyFill="1" applyBorder="1" applyProtection="1">
      <alignment vertical="center"/>
      <protection hidden="1"/>
    </xf>
    <xf numFmtId="0" fontId="39" fillId="2" borderId="70" xfId="136" applyFont="1" applyFill="1" applyBorder="1" applyAlignment="1" applyProtection="1">
      <alignment horizontal="center" vertical="center" wrapText="1"/>
      <protection hidden="1"/>
    </xf>
    <xf numFmtId="0" fontId="36" fillId="0" borderId="68" xfId="136" applyFont="1" applyBorder="1" applyAlignment="1" applyProtection="1">
      <alignment horizontal="center" vertical="top"/>
      <protection hidden="1"/>
    </xf>
    <xf numFmtId="0" fontId="36" fillId="0" borderId="6" xfId="136" applyFont="1" applyBorder="1" applyAlignment="1" applyProtection="1">
      <alignment horizontal="center" vertical="top"/>
      <protection hidden="1"/>
    </xf>
    <xf numFmtId="0" fontId="36" fillId="0" borderId="45" xfId="136" applyFont="1" applyBorder="1" applyAlignment="1" applyProtection="1">
      <alignment horizontal="center" vertical="top"/>
      <protection hidden="1"/>
    </xf>
    <xf numFmtId="0" fontId="38" fillId="0" borderId="47" xfId="136" applyFont="1" applyBorder="1" applyAlignment="1" applyProtection="1">
      <alignment horizontal="center" vertical="center"/>
      <protection hidden="1"/>
    </xf>
    <xf numFmtId="0" fontId="38" fillId="0" borderId="28" xfId="136" applyFont="1" applyBorder="1" applyAlignment="1" applyProtection="1">
      <alignment horizontal="center" vertical="center"/>
      <protection hidden="1"/>
    </xf>
    <xf numFmtId="0" fontId="39" fillId="8" borderId="20" xfId="136" applyFont="1" applyFill="1" applyBorder="1" applyAlignment="1" applyProtection="1">
      <alignment horizontal="center" vertical="center"/>
      <protection hidden="1"/>
    </xf>
    <xf numFmtId="0" fontId="39" fillId="8" borderId="21" xfId="136" applyFont="1" applyFill="1" applyBorder="1" applyAlignment="1" applyProtection="1">
      <alignment horizontal="center" vertical="center"/>
      <protection hidden="1"/>
    </xf>
    <xf numFmtId="0" fontId="39" fillId="8" borderId="28" xfId="136" applyFont="1" applyFill="1" applyBorder="1" applyAlignment="1" applyProtection="1">
      <alignment horizontal="center" vertical="center"/>
      <protection hidden="1"/>
    </xf>
    <xf numFmtId="0" fontId="36" fillId="0" borderId="71" xfId="136" applyFont="1" applyBorder="1" applyAlignment="1" applyProtection="1">
      <alignment horizontal="left" vertical="center"/>
      <protection hidden="1"/>
    </xf>
    <xf numFmtId="0" fontId="38" fillId="0" borderId="27" xfId="136" applyFont="1" applyBorder="1" applyAlignment="1">
      <alignment horizontal="center" vertical="center"/>
    </xf>
    <xf numFmtId="0" fontId="38" fillId="10" borderId="27" xfId="136" applyFont="1" applyFill="1" applyBorder="1" applyAlignment="1">
      <alignment horizontal="center" vertical="center"/>
    </xf>
    <xf numFmtId="0" fontId="38" fillId="2" borderId="17" xfId="136" applyFont="1" applyFill="1" applyBorder="1" applyAlignment="1" applyProtection="1">
      <alignment horizontal="center" vertical="center"/>
      <protection hidden="1"/>
    </xf>
    <xf numFmtId="0" fontId="38" fillId="2" borderId="20" xfId="136" applyFont="1" applyFill="1" applyBorder="1" applyAlignment="1" applyProtection="1">
      <alignment horizontal="center" vertical="center"/>
      <protection locked="0"/>
    </xf>
    <xf numFmtId="0" fontId="38" fillId="2" borderId="21" xfId="136" applyFont="1" applyFill="1" applyBorder="1" applyAlignment="1" applyProtection="1">
      <alignment horizontal="center" vertical="center"/>
      <protection locked="0"/>
    </xf>
    <xf numFmtId="0" fontId="38" fillId="0" borderId="17" xfId="136" applyFont="1" applyBorder="1" applyAlignment="1" applyProtection="1">
      <alignment horizontal="left" vertical="center"/>
      <protection hidden="1"/>
    </xf>
    <xf numFmtId="0" fontId="38" fillId="0" borderId="5" xfId="136" applyFont="1" applyBorder="1" applyAlignment="1" applyProtection="1">
      <alignment horizontal="left" vertical="center"/>
      <protection hidden="1"/>
    </xf>
    <xf numFmtId="0" fontId="38" fillId="2" borderId="52" xfId="136" applyFont="1" applyFill="1" applyBorder="1" applyAlignment="1" applyProtection="1">
      <alignment horizontal="center" vertical="center"/>
      <protection hidden="1"/>
    </xf>
    <xf numFmtId="0" fontId="38" fillId="6" borderId="52" xfId="136" applyFont="1" applyFill="1" applyBorder="1" applyAlignment="1" applyProtection="1">
      <alignment horizontal="center" vertical="center"/>
      <protection hidden="1"/>
    </xf>
    <xf numFmtId="0" fontId="38" fillId="8" borderId="40" xfId="136" applyFont="1" applyFill="1" applyBorder="1" applyAlignment="1" applyProtection="1">
      <alignment horizontal="center" vertical="center"/>
      <protection hidden="1"/>
    </xf>
    <xf numFmtId="0" fontId="38" fillId="8" borderId="44" xfId="136" applyFont="1" applyFill="1" applyBorder="1" applyAlignment="1" applyProtection="1">
      <alignment horizontal="center" vertical="center"/>
      <protection hidden="1"/>
    </xf>
    <xf numFmtId="0" fontId="38" fillId="8" borderId="41" xfId="136" applyFont="1" applyFill="1" applyBorder="1" applyAlignment="1" applyProtection="1">
      <alignment horizontal="center" vertical="center"/>
      <protection hidden="1"/>
    </xf>
    <xf numFmtId="0" fontId="38" fillId="10" borderId="20" xfId="136" applyFont="1" applyFill="1" applyBorder="1" applyAlignment="1" applyProtection="1">
      <alignment horizontal="center" vertical="center"/>
      <protection hidden="1"/>
    </xf>
    <xf numFmtId="0" fontId="38" fillId="0" borderId="44" xfId="0" applyFont="1" applyBorder="1" applyAlignment="1">
      <alignment horizontal="center"/>
    </xf>
    <xf numFmtId="0" fontId="38" fillId="0" borderId="5" xfId="0" applyFont="1" applyBorder="1" applyAlignment="1">
      <alignment horizontal="center"/>
    </xf>
    <xf numFmtId="0" fontId="38" fillId="0" borderId="20" xfId="0" applyFont="1" applyBorder="1" applyAlignment="1">
      <alignment horizontal="center"/>
    </xf>
    <xf numFmtId="0" fontId="38" fillId="10" borderId="21" xfId="136" applyFont="1" applyFill="1" applyBorder="1" applyAlignment="1" applyProtection="1">
      <alignment horizontal="center" vertical="center"/>
      <protection hidden="1"/>
    </xf>
    <xf numFmtId="0" fontId="36" fillId="0" borderId="17" xfId="136" applyFont="1" applyBorder="1" applyAlignment="1" applyProtection="1">
      <alignment horizontal="left" vertical="center"/>
      <protection hidden="1"/>
    </xf>
    <xf numFmtId="0" fontId="36" fillId="0" borderId="5" xfId="136" applyFont="1" applyBorder="1" applyAlignment="1" applyProtection="1">
      <alignment horizontal="left" vertical="center"/>
      <protection hidden="1"/>
    </xf>
    <xf numFmtId="0" fontId="38" fillId="10" borderId="52" xfId="136" applyFont="1" applyFill="1" applyBorder="1" applyAlignment="1" applyProtection="1">
      <alignment horizontal="center" vertical="center"/>
      <protection hidden="1"/>
    </xf>
    <xf numFmtId="0" fontId="38" fillId="10" borderId="18" xfId="136" applyFont="1" applyFill="1" applyBorder="1" applyAlignment="1" applyProtection="1">
      <alignment horizontal="center" vertical="center"/>
      <protection hidden="1"/>
    </xf>
    <xf numFmtId="0" fontId="38" fillId="11" borderId="5" xfId="136" applyFont="1" applyFill="1" applyBorder="1" applyAlignment="1" applyProtection="1">
      <alignment horizontal="center" vertical="center"/>
      <protection hidden="1"/>
    </xf>
    <xf numFmtId="0" fontId="38" fillId="11" borderId="17" xfId="136" applyFont="1" applyFill="1" applyBorder="1" applyAlignment="1" applyProtection="1">
      <alignment horizontal="center" vertical="center"/>
      <protection hidden="1"/>
    </xf>
    <xf numFmtId="0" fontId="38" fillId="6" borderId="72" xfId="136" applyFont="1" applyFill="1" applyBorder="1" applyAlignment="1" applyProtection="1">
      <alignment horizontal="center" vertical="center" wrapText="1"/>
      <protection locked="0"/>
    </xf>
    <xf numFmtId="0" fontId="38" fillId="6" borderId="44" xfId="136" applyFont="1" applyFill="1" applyBorder="1" applyAlignment="1" applyProtection="1">
      <alignment horizontal="center" vertical="center" wrapText="1"/>
      <protection locked="0"/>
    </xf>
    <xf numFmtId="0" fontId="38" fillId="6" borderId="41" xfId="136" applyFont="1" applyFill="1" applyBorder="1" applyAlignment="1" applyProtection="1">
      <alignment horizontal="center" vertical="center" wrapText="1"/>
      <protection locked="0"/>
    </xf>
    <xf numFmtId="0" fontId="38" fillId="6" borderId="40" xfId="4" applyNumberFormat="1" applyFont="1" applyFill="1" applyBorder="1" applyAlignment="1" applyProtection="1">
      <alignment horizontal="center" vertical="center"/>
      <protection locked="0"/>
    </xf>
    <xf numFmtId="0" fontId="38" fillId="6" borderId="44" xfId="4" applyNumberFormat="1" applyFont="1" applyFill="1" applyBorder="1" applyAlignment="1" applyProtection="1">
      <alignment horizontal="center" vertical="center"/>
      <protection locked="0"/>
    </xf>
    <xf numFmtId="0" fontId="38" fillId="6" borderId="41" xfId="4" applyNumberFormat="1" applyFont="1" applyFill="1" applyBorder="1" applyAlignment="1" applyProtection="1">
      <alignment horizontal="center" vertical="center"/>
      <protection locked="0"/>
    </xf>
    <xf numFmtId="0" fontId="38" fillId="6" borderId="4" xfId="136" applyFont="1" applyFill="1" applyBorder="1" applyAlignment="1" applyProtection="1">
      <alignment horizontal="center" vertical="center" wrapText="1"/>
      <protection locked="0"/>
    </xf>
    <xf numFmtId="0" fontId="38" fillId="6" borderId="0" xfId="136" applyFont="1" applyFill="1" applyAlignment="1" applyProtection="1">
      <alignment horizontal="center" vertical="center" wrapText="1"/>
      <protection locked="0"/>
    </xf>
    <xf numFmtId="0" fontId="38" fillId="6" borderId="10" xfId="136" applyFont="1" applyFill="1" applyBorder="1" applyAlignment="1" applyProtection="1">
      <alignment horizontal="center" vertical="center" wrapText="1"/>
      <protection locked="0"/>
    </xf>
    <xf numFmtId="0" fontId="38" fillId="6" borderId="12" xfId="4" applyNumberFormat="1" applyFont="1" applyFill="1" applyBorder="1" applyAlignment="1" applyProtection="1">
      <alignment horizontal="center" vertical="center"/>
      <protection locked="0"/>
    </xf>
    <xf numFmtId="0" fontId="38" fillId="6" borderId="0" xfId="4" applyNumberFormat="1" applyFont="1" applyFill="1" applyBorder="1" applyAlignment="1" applyProtection="1">
      <alignment horizontal="center" vertical="center"/>
      <protection locked="0"/>
    </xf>
    <xf numFmtId="0" fontId="38" fillId="6" borderId="10" xfId="4" applyNumberFormat="1" applyFont="1" applyFill="1" applyBorder="1" applyAlignment="1" applyProtection="1">
      <alignment horizontal="center" vertical="center"/>
      <protection locked="0"/>
    </xf>
    <xf numFmtId="0" fontId="38" fillId="6" borderId="36" xfId="4" applyNumberFormat="1" applyFont="1" applyFill="1" applyBorder="1" applyAlignment="1" applyProtection="1">
      <alignment horizontal="center" vertical="center"/>
      <protection locked="0"/>
    </xf>
    <xf numFmtId="0" fontId="38" fillId="6" borderId="43" xfId="4" applyNumberFormat="1" applyFont="1" applyFill="1" applyBorder="1" applyAlignment="1" applyProtection="1">
      <alignment horizontal="center" vertical="center"/>
      <protection locked="0"/>
    </xf>
    <xf numFmtId="0" fontId="38" fillId="6" borderId="37" xfId="4" applyNumberFormat="1" applyFont="1" applyFill="1" applyBorder="1" applyAlignment="1" applyProtection="1">
      <alignment horizontal="center" vertical="center"/>
      <protection locked="0"/>
    </xf>
    <xf numFmtId="176" fontId="38" fillId="0" borderId="5" xfId="4" applyFont="1" applyBorder="1" applyAlignment="1" applyProtection="1">
      <alignment horizontal="center" vertical="center"/>
      <protection locked="0"/>
    </xf>
    <xf numFmtId="49" fontId="38" fillId="0" borderId="5" xfId="4" applyNumberFormat="1" applyFont="1" applyBorder="1" applyAlignment="1" applyProtection="1">
      <alignment horizontal="center" vertical="center"/>
      <protection locked="0"/>
    </xf>
    <xf numFmtId="0" fontId="38" fillId="2" borderId="18" xfId="136" applyFont="1" applyFill="1" applyBorder="1" applyAlignment="1" applyProtection="1">
      <alignment horizontal="center" vertical="center"/>
      <protection locked="0"/>
    </xf>
    <xf numFmtId="0" fontId="38" fillId="0" borderId="21" xfId="0" applyFont="1" applyBorder="1" applyAlignment="1">
      <alignment horizontal="center"/>
    </xf>
    <xf numFmtId="49" fontId="38" fillId="0" borderId="5" xfId="0" applyNumberFormat="1" applyFont="1" applyBorder="1" applyAlignment="1">
      <alignment horizontal="center"/>
    </xf>
    <xf numFmtId="0" fontId="33" fillId="0" borderId="5" xfId="136" applyFont="1" applyBorder="1" applyAlignment="1">
      <alignment horizontal="center" vertical="center"/>
    </xf>
    <xf numFmtId="0" fontId="38" fillId="10" borderId="5" xfId="4" applyNumberFormat="1" applyFont="1" applyFill="1" applyBorder="1" applyAlignment="1" applyProtection="1">
      <alignment horizontal="center" vertical="center"/>
      <protection locked="0"/>
    </xf>
    <xf numFmtId="0" fontId="38" fillId="10" borderId="5" xfId="136" applyNumberFormat="1" applyFont="1" applyFill="1" applyBorder="1" applyAlignment="1" applyProtection="1">
      <alignment horizontal="center" vertical="center" wrapText="1"/>
      <protection locked="0"/>
    </xf>
    <xf numFmtId="0" fontId="38" fillId="10" borderId="5" xfId="136" applyNumberFormat="1" applyFont="1" applyFill="1" applyBorder="1" applyAlignment="1" applyProtection="1">
      <alignment horizontal="center" vertical="center"/>
      <protection locked="0"/>
    </xf>
    <xf numFmtId="0" fontId="38" fillId="8" borderId="20" xfId="136" applyNumberFormat="1" applyFont="1" applyFill="1" applyBorder="1" applyAlignment="1" applyProtection="1">
      <alignment horizontal="center" vertical="center" wrapText="1"/>
      <protection locked="0"/>
    </xf>
    <xf numFmtId="0" fontId="38" fillId="8" borderId="21" xfId="136" applyNumberFormat="1" applyFont="1" applyFill="1" applyBorder="1" applyAlignment="1" applyProtection="1">
      <alignment horizontal="center" vertical="center" wrapText="1"/>
      <protection locked="0"/>
    </xf>
    <xf numFmtId="0" fontId="38" fillId="8" borderId="18" xfId="136" applyNumberFormat="1" applyFont="1" applyFill="1" applyBorder="1" applyAlignment="1" applyProtection="1">
      <alignment horizontal="center" vertical="center" wrapText="1"/>
      <protection locked="0"/>
    </xf>
    <xf numFmtId="49" fontId="38" fillId="0" borderId="5" xfId="136" applyNumberFormat="1" applyFont="1" applyBorder="1" applyAlignment="1" applyProtection="1">
      <alignment horizontal="center" vertical="center"/>
      <protection locked="0"/>
    </xf>
    <xf numFmtId="0" fontId="38" fillId="0" borderId="18" xfId="0" applyFont="1" applyBorder="1" applyAlignment="1">
      <alignment horizontal="center"/>
    </xf>
    <xf numFmtId="0" fontId="38" fillId="8" borderId="20" xfId="136" applyFont="1" applyFill="1" applyBorder="1" applyAlignment="1" applyProtection="1">
      <alignment horizontal="center" vertical="center"/>
      <protection hidden="1"/>
    </xf>
    <xf numFmtId="0" fontId="38" fillId="8" borderId="21" xfId="136" applyFont="1" applyFill="1" applyBorder="1" applyAlignment="1" applyProtection="1">
      <alignment horizontal="center" vertical="center"/>
      <protection hidden="1"/>
    </xf>
    <xf numFmtId="0" fontId="38" fillId="8" borderId="18" xfId="136" applyFont="1" applyFill="1" applyBorder="1" applyAlignment="1" applyProtection="1">
      <alignment horizontal="center" vertical="center"/>
      <protection hidden="1"/>
    </xf>
    <xf numFmtId="0" fontId="38" fillId="10" borderId="20" xfId="4" applyNumberFormat="1" applyFont="1" applyFill="1" applyBorder="1" applyAlignment="1" applyProtection="1">
      <alignment horizontal="center" vertical="center"/>
      <protection locked="0"/>
    </xf>
    <xf numFmtId="0" fontId="38" fillId="10" borderId="21" xfId="4" applyNumberFormat="1" applyFont="1" applyFill="1" applyBorder="1" applyAlignment="1" applyProtection="1">
      <alignment horizontal="center" vertical="center"/>
      <protection locked="0"/>
    </xf>
    <xf numFmtId="0" fontId="38" fillId="10" borderId="5" xfId="4" applyNumberFormat="1" applyFont="1" applyFill="1" applyBorder="1" applyAlignment="1" applyProtection="1">
      <alignment horizontal="center" vertical="center" wrapText="1"/>
      <protection locked="0"/>
    </xf>
    <xf numFmtId="0" fontId="38" fillId="10" borderId="18" xfId="4" applyNumberFormat="1" applyFont="1" applyFill="1" applyBorder="1" applyAlignment="1" applyProtection="1">
      <alignment horizontal="center" vertical="center"/>
      <protection locked="0"/>
    </xf>
    <xf numFmtId="0" fontId="38" fillId="2" borderId="41" xfId="136" applyFont="1" applyFill="1" applyBorder="1" applyAlignment="1" applyProtection="1">
      <alignment horizontal="center" vertical="center"/>
      <protection hidden="1"/>
    </xf>
    <xf numFmtId="0" fontId="38" fillId="10" borderId="40" xfId="136" applyFont="1" applyFill="1" applyBorder="1" applyAlignment="1" applyProtection="1">
      <alignment horizontal="center" vertical="center"/>
      <protection hidden="1"/>
    </xf>
    <xf numFmtId="0" fontId="38" fillId="10" borderId="44" xfId="136" applyFont="1" applyFill="1" applyBorder="1" applyAlignment="1" applyProtection="1">
      <alignment horizontal="center" vertical="center"/>
      <protection hidden="1"/>
    </xf>
    <xf numFmtId="0" fontId="38" fillId="10" borderId="41" xfId="136" applyFont="1" applyFill="1" applyBorder="1" applyAlignment="1" applyProtection="1">
      <alignment horizontal="center" vertical="center"/>
      <protection hidden="1"/>
    </xf>
    <xf numFmtId="0" fontId="38" fillId="10" borderId="36" xfId="136" applyFont="1" applyFill="1" applyBorder="1" applyAlignment="1">
      <alignment horizontal="center" vertical="center"/>
    </xf>
    <xf numFmtId="0" fontId="38" fillId="10" borderId="43" xfId="136" applyFont="1" applyFill="1" applyBorder="1" applyAlignment="1">
      <alignment horizontal="center" vertical="center"/>
    </xf>
    <xf numFmtId="0" fontId="38" fillId="0" borderId="40" xfId="136" applyFont="1" applyBorder="1" applyAlignment="1">
      <alignment horizontal="center" vertical="center"/>
    </xf>
    <xf numFmtId="0" fontId="38" fillId="0" borderId="44" xfId="136" applyFont="1" applyBorder="1" applyAlignment="1">
      <alignment horizontal="center" vertical="center"/>
    </xf>
    <xf numFmtId="0" fontId="38" fillId="2" borderId="28" xfId="136" applyFont="1" applyFill="1" applyBorder="1" applyAlignment="1" applyProtection="1">
      <alignment horizontal="center" vertical="center"/>
      <protection locked="0"/>
    </xf>
    <xf numFmtId="0" fontId="38" fillId="8" borderId="28" xfId="136" applyFont="1" applyFill="1" applyBorder="1" applyAlignment="1" applyProtection="1">
      <alignment horizontal="center" vertical="center"/>
      <protection locked="0"/>
    </xf>
    <xf numFmtId="0" fontId="38" fillId="0" borderId="68" xfId="136" applyFont="1" applyBorder="1" applyAlignment="1">
      <alignment horizontal="center" vertical="center"/>
    </xf>
    <xf numFmtId="0" fontId="38" fillId="8" borderId="20" xfId="136" applyFont="1" applyFill="1" applyBorder="1" applyAlignment="1">
      <alignment horizontal="center" vertical="center"/>
    </xf>
    <xf numFmtId="0" fontId="38" fillId="8" borderId="21" xfId="136" applyFont="1" applyFill="1" applyBorder="1" applyAlignment="1">
      <alignment horizontal="center" vertical="center"/>
    </xf>
    <xf numFmtId="0" fontId="38" fillId="8" borderId="28" xfId="136" applyFont="1" applyFill="1" applyBorder="1" applyAlignment="1">
      <alignment horizontal="center" vertical="center"/>
    </xf>
    <xf numFmtId="0" fontId="38" fillId="10" borderId="45" xfId="136" applyFont="1" applyFill="1" applyBorder="1" applyAlignment="1">
      <alignment horizontal="center" vertical="center"/>
    </xf>
    <xf numFmtId="0" fontId="38" fillId="10" borderId="28" xfId="136" applyFont="1" applyFill="1" applyBorder="1" applyAlignment="1" applyProtection="1">
      <alignment horizontal="center" vertical="center"/>
      <protection hidden="1"/>
    </xf>
    <xf numFmtId="0" fontId="38" fillId="8" borderId="28" xfId="136" applyFont="1" applyFill="1" applyBorder="1" applyAlignment="1" applyProtection="1">
      <alignment horizontal="center" vertical="center"/>
      <protection hidden="1"/>
    </xf>
    <xf numFmtId="0" fontId="36" fillId="0" borderId="27" xfId="136" applyFont="1" applyBorder="1" applyAlignment="1" applyProtection="1">
      <alignment horizontal="left" vertical="center"/>
      <protection hidden="1"/>
    </xf>
    <xf numFmtId="0" fontId="38" fillId="10" borderId="27" xfId="4" applyNumberFormat="1" applyFont="1" applyFill="1" applyBorder="1" applyAlignment="1" applyProtection="1">
      <alignment horizontal="center" vertical="center"/>
      <protection locked="0"/>
    </xf>
    <xf numFmtId="0" fontId="38" fillId="8" borderId="28" xfId="136" applyNumberFormat="1" applyFont="1" applyFill="1" applyBorder="1" applyAlignment="1" applyProtection="1">
      <alignment horizontal="center" vertical="center" wrapText="1"/>
      <protection locked="0"/>
    </xf>
    <xf numFmtId="49" fontId="38" fillId="0" borderId="27" xfId="4" applyNumberFormat="1" applyFont="1" applyBorder="1" applyAlignment="1" applyProtection="1">
      <alignment horizontal="center" vertical="center"/>
      <protection locked="0"/>
    </xf>
    <xf numFmtId="176" fontId="38" fillId="12" borderId="5" xfId="4" applyFont="1" applyFill="1" applyBorder="1" applyAlignment="1" applyProtection="1">
      <alignment horizontal="center" vertical="center"/>
      <protection locked="0"/>
    </xf>
    <xf numFmtId="0" fontId="38" fillId="6" borderId="43" xfId="136" applyFont="1" applyFill="1" applyBorder="1" applyAlignment="1" applyProtection="1">
      <alignment horizontal="center" vertical="center" wrapText="1"/>
      <protection locked="0"/>
    </xf>
    <xf numFmtId="0" fontId="38" fillId="6" borderId="37" xfId="136" applyFont="1" applyFill="1" applyBorder="1" applyAlignment="1" applyProtection="1">
      <alignment horizontal="center" vertical="center" wrapText="1"/>
      <protection locked="0"/>
    </xf>
    <xf numFmtId="0" fontId="38" fillId="0" borderId="73" xfId="136" applyFont="1" applyBorder="1" applyAlignment="1" applyProtection="1">
      <alignment horizontal="left" vertical="top"/>
      <protection hidden="1"/>
    </xf>
    <xf numFmtId="0" fontId="38" fillId="0" borderId="74" xfId="136" applyFont="1" applyBorder="1" applyAlignment="1" applyProtection="1">
      <alignment horizontal="left" vertical="top"/>
      <protection hidden="1"/>
    </xf>
    <xf numFmtId="0" fontId="38" fillId="6" borderId="0" xfId="136" applyFont="1" applyFill="1" applyBorder="1" applyAlignment="1" applyProtection="1">
      <alignment horizontal="center" vertical="center" wrapText="1"/>
      <protection locked="0"/>
    </xf>
    <xf numFmtId="0" fontId="38" fillId="0" borderId="12" xfId="136" applyFont="1" applyBorder="1" applyAlignment="1" applyProtection="1">
      <alignment horizontal="left" vertical="top"/>
      <protection hidden="1"/>
    </xf>
    <xf numFmtId="0" fontId="38" fillId="0" borderId="0" xfId="136" applyFont="1" applyBorder="1" applyAlignment="1" applyProtection="1">
      <alignment horizontal="left" vertical="top"/>
      <protection hidden="1"/>
    </xf>
    <xf numFmtId="0" fontId="38" fillId="10" borderId="22" xfId="136" applyFont="1" applyFill="1" applyBorder="1" applyAlignment="1" applyProtection="1">
      <alignment horizontal="left" vertical="center"/>
      <protection hidden="1"/>
    </xf>
    <xf numFmtId="0" fontId="38" fillId="10" borderId="23" xfId="136" applyFont="1" applyFill="1" applyBorder="1" applyAlignment="1" applyProtection="1">
      <alignment horizontal="left" vertical="center"/>
      <protection hidden="1"/>
    </xf>
    <xf numFmtId="0" fontId="38" fillId="0" borderId="23" xfId="136" applyFont="1" applyBorder="1" applyAlignment="1" applyProtection="1">
      <alignment horizontal="center" vertical="center"/>
      <protection hidden="1"/>
    </xf>
    <xf numFmtId="0" fontId="15" fillId="5" borderId="0" xfId="146" applyFont="1" applyFill="1" applyBorder="1" applyAlignment="1" applyProtection="1">
      <protection locked="0"/>
    </xf>
    <xf numFmtId="0" fontId="38" fillId="8" borderId="5" xfId="136" applyNumberFormat="1" applyFont="1" applyFill="1" applyBorder="1" applyAlignment="1" applyProtection="1">
      <alignment horizontal="center" vertical="center" wrapText="1"/>
      <protection locked="0"/>
    </xf>
    <xf numFmtId="49" fontId="38" fillId="12" borderId="5" xfId="136" applyNumberFormat="1" applyFont="1" applyFill="1" applyBorder="1" applyAlignment="1" applyProtection="1">
      <alignment horizontal="center" vertical="center"/>
      <protection locked="0"/>
    </xf>
    <xf numFmtId="49" fontId="38" fillId="12" borderId="5" xfId="4" applyNumberFormat="1" applyFont="1" applyFill="1" applyBorder="1" applyAlignment="1" applyProtection="1">
      <alignment horizontal="center" vertical="center"/>
      <protection locked="0"/>
    </xf>
    <xf numFmtId="0" fontId="38" fillId="10" borderId="23" xfId="136" applyFont="1" applyFill="1" applyBorder="1" applyAlignment="1" applyProtection="1">
      <alignment horizontal="center" vertical="center"/>
      <protection hidden="1"/>
    </xf>
    <xf numFmtId="14" fontId="38" fillId="0" borderId="23" xfId="136" applyNumberFormat="1" applyFont="1" applyBorder="1" applyAlignment="1" applyProtection="1">
      <alignment horizontal="center" vertical="center"/>
      <protection hidden="1"/>
    </xf>
    <xf numFmtId="49" fontId="38" fillId="0" borderId="49" xfId="136" applyNumberFormat="1" applyFont="1" applyBorder="1" applyAlignment="1" applyProtection="1">
      <alignment horizontal="center" vertical="center"/>
      <protection locked="0"/>
    </xf>
    <xf numFmtId="0" fontId="38" fillId="10" borderId="20" xfId="136" applyNumberFormat="1" applyFont="1" applyFill="1" applyBorder="1" applyAlignment="1" applyProtection="1">
      <alignment horizontal="center" vertical="center" wrapText="1"/>
      <protection locked="0"/>
    </xf>
    <xf numFmtId="0" fontId="38" fillId="10" borderId="18" xfId="136" applyNumberFormat="1" applyFont="1" applyFill="1" applyBorder="1" applyAlignment="1" applyProtection="1">
      <alignment horizontal="center" vertical="center" wrapText="1"/>
      <protection locked="0"/>
    </xf>
    <xf numFmtId="49" fontId="38" fillId="0" borderId="49" xfId="4" applyNumberFormat="1" applyFont="1" applyBorder="1" applyAlignment="1" applyProtection="1">
      <alignment horizontal="center" vertical="center"/>
      <protection locked="0"/>
    </xf>
    <xf numFmtId="49" fontId="38" fillId="12" borderId="27" xfId="4" applyNumberFormat="1" applyFont="1" applyFill="1" applyBorder="1" applyAlignment="1" applyProtection="1">
      <alignment horizontal="center" vertical="center"/>
      <protection locked="0"/>
    </xf>
    <xf numFmtId="0" fontId="38" fillId="0" borderId="75" xfId="136" applyFont="1" applyBorder="1" applyAlignment="1" applyProtection="1">
      <alignment horizontal="left" vertical="top"/>
      <protection hidden="1"/>
    </xf>
    <xf numFmtId="0" fontId="38" fillId="0" borderId="6" xfId="136" applyFont="1" applyBorder="1" applyAlignment="1" applyProtection="1">
      <alignment horizontal="left" vertical="top"/>
      <protection hidden="1"/>
    </xf>
    <xf numFmtId="14" fontId="38" fillId="0" borderId="32" xfId="136" applyNumberFormat="1" applyFont="1" applyBorder="1" applyAlignment="1" applyProtection="1">
      <alignment horizontal="center" vertical="center"/>
      <protection hidden="1"/>
    </xf>
    <xf numFmtId="0" fontId="15" fillId="5" borderId="0" xfId="146" applyFont="1" applyFill="1" applyBorder="1" applyAlignment="1" applyProtection="1">
      <alignment horizontal="right"/>
      <protection locked="0"/>
    </xf>
    <xf numFmtId="0" fontId="38" fillId="6" borderId="5" xfId="136" applyFont="1" applyFill="1" applyBorder="1" applyAlignment="1" applyProtection="1">
      <alignment horizontal="center" vertical="center" textRotation="90" wrapText="1"/>
      <protection hidden="1"/>
    </xf>
    <xf numFmtId="0" fontId="13" fillId="0" borderId="0" xfId="137" applyFont="1" applyFill="1" applyAlignment="1" applyProtection="1">
      <alignment horizontal="center" vertical="center"/>
      <protection locked="0"/>
    </xf>
    <xf numFmtId="0" fontId="21" fillId="0" borderId="8" xfId="137" applyFont="1" applyFill="1" applyBorder="1" applyAlignment="1" applyProtection="1">
      <alignment horizontal="center" vertical="center"/>
      <protection locked="0"/>
    </xf>
    <xf numFmtId="0" fontId="41" fillId="0" borderId="14" xfId="137" applyFont="1" applyFill="1" applyBorder="1" applyAlignment="1" applyProtection="1">
      <alignment horizontal="center" vertical="center"/>
      <protection locked="0"/>
    </xf>
    <xf numFmtId="0" fontId="41" fillId="0" borderId="16" xfId="137" applyFont="1" applyFill="1" applyBorder="1" applyAlignment="1" applyProtection="1">
      <alignment horizontal="center" vertical="center"/>
      <protection locked="0"/>
    </xf>
    <xf numFmtId="0" fontId="41" fillId="0" borderId="42" xfId="137" applyFont="1" applyFill="1" applyBorder="1" applyAlignment="1" applyProtection="1">
      <alignment horizontal="center" vertical="center" shrinkToFit="1"/>
      <protection locked="0"/>
    </xf>
    <xf numFmtId="0" fontId="41" fillId="0" borderId="15" xfId="137" applyFont="1" applyFill="1" applyBorder="1" applyAlignment="1" applyProtection="1">
      <alignment horizontal="center" vertical="center" shrinkToFit="1"/>
      <protection locked="0"/>
    </xf>
    <xf numFmtId="0" fontId="41" fillId="0" borderId="42" xfId="137" applyFont="1" applyFill="1" applyBorder="1" applyAlignment="1" applyProtection="1">
      <alignment horizontal="center" vertical="center"/>
      <protection locked="0"/>
    </xf>
    <xf numFmtId="0" fontId="41" fillId="0" borderId="15" xfId="137" applyFont="1" applyFill="1" applyBorder="1" applyAlignment="1" applyProtection="1">
      <alignment horizontal="center" vertical="center"/>
      <protection locked="0"/>
    </xf>
    <xf numFmtId="0" fontId="41" fillId="0" borderId="16" xfId="137" applyFont="1" applyFill="1" applyBorder="1" applyAlignment="1" applyProtection="1">
      <alignment vertical="center"/>
      <protection locked="0"/>
    </xf>
    <xf numFmtId="0" fontId="41" fillId="0" borderId="17" xfId="137" applyFont="1" applyFill="1" applyBorder="1" applyAlignment="1" applyProtection="1">
      <alignment horizontal="center" vertical="center"/>
      <protection locked="0"/>
    </xf>
    <xf numFmtId="0" fontId="41" fillId="0" borderId="5" xfId="137" applyFont="1" applyFill="1" applyBorder="1" applyAlignment="1" applyProtection="1">
      <alignment horizontal="center" vertical="center"/>
      <protection locked="0"/>
    </xf>
    <xf numFmtId="0" fontId="41" fillId="0" borderId="20" xfId="137" applyFont="1" applyFill="1" applyBorder="1" applyAlignment="1" applyProtection="1">
      <alignment horizontal="center" vertical="center" shrinkToFit="1"/>
      <protection locked="0"/>
    </xf>
    <xf numFmtId="0" fontId="41" fillId="0" borderId="18" xfId="137" applyFont="1" applyFill="1" applyBorder="1" applyAlignment="1" applyProtection="1">
      <alignment horizontal="center" vertical="center" shrinkToFit="1"/>
      <protection locked="0"/>
    </xf>
    <xf numFmtId="0" fontId="41" fillId="0" borderId="20" xfId="137" applyFont="1" applyFill="1" applyBorder="1" applyAlignment="1" applyProtection="1">
      <alignment horizontal="center" vertical="center"/>
      <protection locked="0"/>
    </xf>
    <xf numFmtId="0" fontId="41" fillId="0" borderId="18" xfId="137" applyFont="1" applyFill="1" applyBorder="1" applyAlignment="1" applyProtection="1">
      <alignment horizontal="center" vertical="center"/>
      <protection locked="0"/>
    </xf>
    <xf numFmtId="0" fontId="41" fillId="0" borderId="5" xfId="137" applyFont="1" applyFill="1" applyBorder="1" applyAlignment="1" applyProtection="1">
      <alignment vertical="center"/>
      <protection locked="0"/>
    </xf>
    <xf numFmtId="0" fontId="41" fillId="0" borderId="40" xfId="137" applyFont="1" applyFill="1" applyBorder="1" applyAlignment="1" applyProtection="1">
      <alignment horizontal="center" vertical="center"/>
      <protection locked="0"/>
    </xf>
    <xf numFmtId="0" fontId="41" fillId="0" borderId="41" xfId="137" applyFont="1" applyFill="1" applyBorder="1" applyAlignment="1" applyProtection="1">
      <alignment horizontal="center" vertical="center"/>
      <protection locked="0"/>
    </xf>
    <xf numFmtId="0" fontId="41" fillId="0" borderId="36" xfId="137" applyFont="1" applyFill="1" applyBorder="1" applyAlignment="1" applyProtection="1">
      <alignment horizontal="center" vertical="center"/>
      <protection locked="0"/>
    </xf>
    <xf numFmtId="0" fontId="41" fillId="0" borderId="37" xfId="137" applyFont="1" applyFill="1" applyBorder="1" applyAlignment="1" applyProtection="1">
      <alignment horizontal="center" vertical="center"/>
      <protection locked="0"/>
    </xf>
    <xf numFmtId="0" fontId="41" fillId="0" borderId="46" xfId="137" applyFont="1" applyFill="1" applyBorder="1" applyAlignment="1" applyProtection="1">
      <alignment horizontal="center" vertical="center" wrapText="1"/>
      <protection locked="0"/>
    </xf>
    <xf numFmtId="0" fontId="15" fillId="0" borderId="5" xfId="137" applyFont="1" applyFill="1" applyBorder="1" applyAlignment="1" applyProtection="1">
      <alignment horizontal="left" vertical="center" wrapText="1" shrinkToFit="1"/>
      <protection locked="0"/>
    </xf>
    <xf numFmtId="0" fontId="15" fillId="0" borderId="5" xfId="137" applyFont="1" applyFill="1" applyBorder="1" applyAlignment="1" applyProtection="1">
      <alignment horizontal="center" vertical="center" wrapText="1" shrinkToFit="1"/>
      <protection locked="0"/>
    </xf>
    <xf numFmtId="0" fontId="41" fillId="0" borderId="76" xfId="137" applyFont="1" applyFill="1" applyBorder="1" applyAlignment="1" applyProtection="1">
      <alignment horizontal="center" vertical="center" wrapText="1"/>
      <protection locked="0"/>
    </xf>
    <xf numFmtId="0" fontId="41" fillId="0" borderId="19" xfId="137" applyFont="1" applyFill="1" applyBorder="1" applyAlignment="1" applyProtection="1">
      <alignment horizontal="center" vertical="center" wrapText="1"/>
      <protection locked="0"/>
    </xf>
    <xf numFmtId="0" fontId="41" fillId="0" borderId="17" xfId="137" applyFont="1" applyFill="1" applyBorder="1" applyAlignment="1" applyProtection="1">
      <alignment horizontal="center" vertical="center" wrapText="1"/>
      <protection locked="0"/>
    </xf>
    <xf numFmtId="0" fontId="15" fillId="0" borderId="5" xfId="137" applyFont="1" applyFill="1" applyBorder="1" applyAlignment="1" applyProtection="1">
      <alignment horizontal="left" vertical="center" shrinkToFit="1"/>
      <protection locked="0"/>
    </xf>
    <xf numFmtId="0" fontId="42" fillId="2" borderId="5" xfId="137" applyFont="1" applyFill="1" applyBorder="1" applyAlignment="1" applyProtection="1">
      <alignment horizontal="center" vertical="center"/>
      <protection locked="0"/>
    </xf>
    <xf numFmtId="0" fontId="15" fillId="0" borderId="20" xfId="137" applyFont="1" applyFill="1" applyBorder="1" applyAlignment="1" applyProtection="1">
      <alignment horizontal="center" vertical="center" wrapText="1" shrinkToFit="1"/>
      <protection locked="0"/>
    </xf>
    <xf numFmtId="0" fontId="15" fillId="0" borderId="18" xfId="137" applyFont="1" applyFill="1" applyBorder="1" applyAlignment="1" applyProtection="1">
      <alignment horizontal="center" vertical="center" wrapText="1" shrinkToFit="1"/>
      <protection locked="0"/>
    </xf>
    <xf numFmtId="0" fontId="15" fillId="0" borderId="20" xfId="137" applyFont="1" applyFill="1" applyBorder="1" applyAlignment="1" applyProtection="1">
      <alignment horizontal="left" vertical="center"/>
      <protection locked="0"/>
    </xf>
    <xf numFmtId="0" fontId="15" fillId="0" borderId="18" xfId="137" applyFont="1" applyFill="1" applyBorder="1" applyAlignment="1" applyProtection="1">
      <alignment horizontal="left" vertical="center"/>
      <protection locked="0"/>
    </xf>
    <xf numFmtId="0" fontId="43" fillId="0" borderId="5" xfId="137" applyFont="1" applyFill="1" applyBorder="1" applyAlignment="1" applyProtection="1">
      <alignment horizontal="center" vertical="center" wrapText="1"/>
      <protection locked="0"/>
    </xf>
    <xf numFmtId="0" fontId="42" fillId="2" borderId="5" xfId="137" applyFont="1" applyFill="1" applyBorder="1" applyAlignment="1" applyProtection="1">
      <alignment horizontal="center" vertical="center" wrapText="1"/>
      <protection locked="0"/>
    </xf>
    <xf numFmtId="0" fontId="41" fillId="0" borderId="17" xfId="137" applyFont="1" applyFill="1" applyBorder="1" applyAlignment="1" applyProtection="1">
      <alignment horizontal="center" vertical="center" wrapText="1" shrinkToFit="1"/>
      <protection locked="0"/>
    </xf>
    <xf numFmtId="0" fontId="41" fillId="0" borderId="22" xfId="137" applyFont="1" applyFill="1" applyBorder="1" applyAlignment="1" applyProtection="1">
      <alignment horizontal="center" vertical="center" wrapText="1"/>
      <protection locked="0"/>
    </xf>
    <xf numFmtId="0" fontId="15" fillId="0" borderId="24" xfId="137" applyFont="1" applyFill="1" applyBorder="1" applyAlignment="1" applyProtection="1">
      <alignment horizontal="left" vertical="center" wrapText="1"/>
      <protection locked="0"/>
    </xf>
    <xf numFmtId="0" fontId="15" fillId="0" borderId="25" xfId="137" applyFont="1" applyFill="1" applyBorder="1" applyAlignment="1" applyProtection="1">
      <alignment horizontal="left" vertical="center" wrapText="1"/>
      <protection locked="0"/>
    </xf>
    <xf numFmtId="0" fontId="15" fillId="0" borderId="0" xfId="137" applyFont="1" applyFill="1" applyAlignment="1" applyProtection="1">
      <alignment horizontal="left" vertical="center"/>
      <protection locked="0"/>
    </xf>
    <xf numFmtId="0" fontId="15" fillId="0" borderId="0" xfId="137" applyFont="1" applyFill="1" applyAlignment="1" applyProtection="1">
      <alignment horizontal="center" vertical="center"/>
      <protection locked="0"/>
    </xf>
    <xf numFmtId="0" fontId="12" fillId="0" borderId="0" xfId="137" applyFont="1"/>
    <xf numFmtId="0" fontId="23" fillId="0" borderId="16" xfId="137" applyFont="1" applyFill="1" applyBorder="1" applyAlignment="1" applyProtection="1">
      <alignment horizontal="center" vertical="center"/>
      <protection locked="0"/>
    </xf>
    <xf numFmtId="0" fontId="23" fillId="0" borderId="26" xfId="137" applyFont="1" applyFill="1" applyBorder="1" applyAlignment="1" applyProtection="1">
      <alignment horizontal="left" vertical="center" wrapText="1"/>
      <protection locked="0"/>
    </xf>
    <xf numFmtId="0" fontId="23" fillId="0" borderId="5" xfId="137" applyFont="1" applyFill="1" applyBorder="1" applyAlignment="1" applyProtection="1">
      <alignment horizontal="center" vertical="center"/>
      <protection locked="0"/>
    </xf>
    <xf numFmtId="0" fontId="23" fillId="0" borderId="27" xfId="137" applyFont="1" applyFill="1" applyBorder="1" applyAlignment="1" applyProtection="1">
      <alignment horizontal="left" vertical="center"/>
      <protection locked="0"/>
    </xf>
    <xf numFmtId="0" fontId="41" fillId="0" borderId="5" xfId="137" applyFont="1" applyFill="1" applyBorder="1" applyAlignment="1" applyProtection="1">
      <alignment horizontal="center" vertical="center" wrapText="1"/>
      <protection locked="0"/>
    </xf>
    <xf numFmtId="0" fontId="41" fillId="0" borderId="27" xfId="137" applyFont="1" applyFill="1" applyBorder="1" applyAlignment="1" applyProtection="1">
      <alignment horizontal="center" vertical="center"/>
      <protection locked="0"/>
    </xf>
    <xf numFmtId="0" fontId="41" fillId="0" borderId="77" xfId="137" applyFont="1" applyFill="1" applyBorder="1" applyAlignment="1" applyProtection="1">
      <alignment horizontal="center" vertical="center"/>
      <protection locked="0"/>
    </xf>
    <xf numFmtId="0" fontId="41" fillId="0" borderId="78" xfId="137" applyFont="1" applyFill="1" applyBorder="1" applyAlignment="1" applyProtection="1">
      <alignment horizontal="center" vertical="center"/>
      <protection locked="0"/>
    </xf>
    <xf numFmtId="0" fontId="41" fillId="0" borderId="47" xfId="137" applyFont="1" applyFill="1" applyBorder="1" applyAlignment="1" applyProtection="1">
      <alignment horizontal="center" vertical="center"/>
      <protection locked="0"/>
    </xf>
    <xf numFmtId="0" fontId="15" fillId="0" borderId="27" xfId="137" applyFont="1" applyFill="1" applyBorder="1" applyAlignment="1" applyProtection="1">
      <alignment horizontal="center" vertical="center" shrinkToFit="1"/>
      <protection locked="0"/>
    </xf>
    <xf numFmtId="0" fontId="15" fillId="0" borderId="77" xfId="137" applyFont="1" applyFill="1" applyBorder="1" applyAlignment="1" applyProtection="1">
      <alignment horizontal="center" vertical="center" shrinkToFit="1"/>
      <protection locked="0"/>
    </xf>
    <xf numFmtId="0" fontId="15" fillId="0" borderId="78" xfId="137" applyFont="1" applyFill="1" applyBorder="1" applyAlignment="1" applyProtection="1">
      <alignment horizontal="center" vertical="center" shrinkToFit="1"/>
      <protection locked="0"/>
    </xf>
    <xf numFmtId="0" fontId="41" fillId="0" borderId="5" xfId="137" applyFont="1" applyFill="1" applyBorder="1" applyAlignment="1" applyProtection="1">
      <alignment horizontal="center" vertical="center" shrinkToFit="1"/>
      <protection locked="0"/>
    </xf>
    <xf numFmtId="0" fontId="15" fillId="0" borderId="47" xfId="137" applyFont="1" applyFill="1" applyBorder="1" applyAlignment="1" applyProtection="1">
      <alignment horizontal="center" vertical="center" shrinkToFit="1"/>
      <protection locked="0"/>
    </xf>
    <xf numFmtId="0" fontId="15" fillId="0" borderId="29" xfId="137" applyFont="1" applyFill="1" applyBorder="1" applyAlignment="1" applyProtection="1">
      <alignment horizontal="left" vertical="center" wrapText="1"/>
      <protection locked="0"/>
    </xf>
    <xf numFmtId="0" fontId="44" fillId="0" borderId="0" xfId="142" applyFont="1" applyAlignment="1">
      <alignment vertical="center"/>
    </xf>
    <xf numFmtId="0" fontId="45" fillId="0" borderId="0" xfId="142" applyFont="1" applyAlignment="1">
      <alignment vertical="center"/>
    </xf>
    <xf numFmtId="0" fontId="17" fillId="0" borderId="0" xfId="142" applyAlignment="1">
      <alignment vertical="center"/>
    </xf>
    <xf numFmtId="0" fontId="46" fillId="0" borderId="0" xfId="142" applyFont="1" applyAlignment="1">
      <alignment vertical="center"/>
    </xf>
    <xf numFmtId="0" fontId="3" fillId="0" borderId="0" xfId="142" applyFont="1" applyAlignment="1">
      <alignment horizontal="center" vertical="center" wrapText="1"/>
    </xf>
    <xf numFmtId="0" fontId="47" fillId="0" borderId="0" xfId="142" applyFont="1" applyAlignment="1">
      <alignment vertical="center"/>
    </xf>
    <xf numFmtId="0" fontId="27" fillId="0" borderId="0" xfId="142" applyFont="1" applyAlignment="1">
      <alignment horizontal="center" vertical="center" wrapText="1"/>
    </xf>
    <xf numFmtId="0" fontId="12" fillId="0" borderId="0" xfId="142" applyFont="1" applyAlignment="1">
      <alignment vertical="center"/>
    </xf>
    <xf numFmtId="0" fontId="4" fillId="0" borderId="0" xfId="142" applyFont="1" applyBorder="1" applyAlignment="1">
      <alignment horizontal="center" vertical="center" wrapText="1"/>
    </xf>
    <xf numFmtId="0" fontId="4" fillId="0" borderId="0" xfId="142" applyFont="1" applyBorder="1" applyAlignment="1">
      <alignment horizontal="center" vertical="center"/>
    </xf>
    <xf numFmtId="0" fontId="13" fillId="0" borderId="43" xfId="142" applyFont="1" applyBorder="1" applyAlignment="1" applyProtection="1">
      <alignment horizontal="center" vertical="center"/>
      <protection locked="0"/>
    </xf>
    <xf numFmtId="14" fontId="13" fillId="0" borderId="43" xfId="142" applyNumberFormat="1" applyFont="1" applyBorder="1" applyAlignment="1" applyProtection="1">
      <alignment horizontal="center" vertical="center"/>
      <protection locked="0"/>
    </xf>
    <xf numFmtId="0" fontId="13" fillId="0" borderId="0" xfId="142" applyFont="1" applyBorder="1" applyAlignment="1">
      <alignment horizontal="center" vertical="center" wrapText="1"/>
    </xf>
    <xf numFmtId="0" fontId="13" fillId="0" borderId="0" xfId="142" applyFont="1" applyBorder="1" applyAlignment="1">
      <alignment horizontal="center" vertical="center"/>
    </xf>
    <xf numFmtId="0" fontId="24" fillId="0" borderId="0" xfId="142" applyFont="1" applyAlignment="1">
      <alignment horizontal="left" vertical="center"/>
    </xf>
    <xf numFmtId="187" fontId="13" fillId="0" borderId="40" xfId="142" applyNumberFormat="1" applyFont="1" applyBorder="1" applyAlignment="1" applyProtection="1">
      <alignment horizontal="left" vertical="top"/>
      <protection locked="0"/>
    </xf>
    <xf numFmtId="187" fontId="13" fillId="0" borderId="44" xfId="142" applyNumberFormat="1" applyFont="1" applyBorder="1" applyAlignment="1" applyProtection="1">
      <alignment horizontal="left" vertical="top"/>
      <protection locked="0"/>
    </xf>
    <xf numFmtId="187" fontId="13" fillId="0" borderId="12" xfId="142" applyNumberFormat="1" applyFont="1" applyBorder="1" applyAlignment="1" applyProtection="1">
      <alignment horizontal="left" vertical="top"/>
      <protection locked="0"/>
    </xf>
    <xf numFmtId="187" fontId="13" fillId="0" borderId="0" xfId="142" applyNumberFormat="1" applyFont="1" applyBorder="1" applyAlignment="1" applyProtection="1">
      <alignment horizontal="left" vertical="top"/>
      <protection locked="0"/>
    </xf>
    <xf numFmtId="187" fontId="13" fillId="0" borderId="36" xfId="142" applyNumberFormat="1" applyFont="1" applyBorder="1" applyAlignment="1" applyProtection="1">
      <alignment horizontal="left" vertical="top"/>
      <protection locked="0"/>
    </xf>
    <xf numFmtId="187" fontId="13" fillId="0" borderId="43" xfId="142" applyNumberFormat="1" applyFont="1" applyBorder="1" applyAlignment="1" applyProtection="1">
      <alignment horizontal="left" vertical="top"/>
      <protection locked="0"/>
    </xf>
    <xf numFmtId="0" fontId="4" fillId="0" borderId="0" xfId="142" applyFont="1" applyAlignment="1">
      <alignment horizontal="center" vertical="center" wrapText="1"/>
    </xf>
    <xf numFmtId="0" fontId="4" fillId="0" borderId="10" xfId="142" applyFont="1" applyBorder="1" applyAlignment="1">
      <alignment horizontal="center" vertical="center" wrapText="1"/>
    </xf>
    <xf numFmtId="0" fontId="48" fillId="0" borderId="5" xfId="142" applyFont="1" applyFill="1" applyBorder="1" applyAlignment="1">
      <alignment horizontal="center" vertical="center"/>
    </xf>
    <xf numFmtId="0" fontId="14" fillId="2" borderId="0" xfId="142" applyFont="1" applyFill="1" applyAlignment="1">
      <alignment horizontal="left" vertical="center"/>
    </xf>
    <xf numFmtId="0" fontId="4" fillId="0" borderId="0" xfId="142" applyFont="1" applyAlignment="1">
      <alignment horizontal="left" vertical="center"/>
    </xf>
    <xf numFmtId="0" fontId="4" fillId="0" borderId="5" xfId="142" applyFont="1" applyFill="1" applyBorder="1" applyAlignment="1">
      <alignment horizontal="center" vertical="center"/>
    </xf>
    <xf numFmtId="0" fontId="14" fillId="0" borderId="0" xfId="142" applyFont="1" applyAlignment="1">
      <alignment horizontal="left" vertical="center"/>
    </xf>
    <xf numFmtId="0" fontId="49" fillId="0" borderId="0" xfId="142" applyFont="1" applyAlignment="1">
      <alignment horizontal="left" vertical="center" wrapText="1"/>
    </xf>
    <xf numFmtId="0" fontId="14" fillId="0" borderId="0" xfId="142" applyFont="1" applyAlignment="1">
      <alignment horizontal="center" vertical="center" wrapText="1"/>
    </xf>
    <xf numFmtId="0" fontId="14" fillId="0" borderId="0" xfId="142" applyFont="1" applyAlignment="1">
      <alignment horizontal="center" vertical="center"/>
    </xf>
    <xf numFmtId="0" fontId="48" fillId="0" borderId="5" xfId="142" applyFont="1" applyFill="1" applyBorder="1" applyAlignment="1" applyProtection="1">
      <alignment horizontal="center" vertical="center"/>
      <protection locked="0"/>
    </xf>
    <xf numFmtId="0" fontId="50" fillId="0" borderId="0" xfId="142" applyFont="1" applyBorder="1" applyAlignment="1" applyProtection="1">
      <alignment horizontal="left" vertical="center"/>
      <protection locked="0"/>
    </xf>
    <xf numFmtId="0" fontId="18" fillId="0" borderId="0" xfId="142" applyFont="1" applyAlignment="1">
      <alignment horizontal="right" vertical="center"/>
    </xf>
    <xf numFmtId="0" fontId="51" fillId="0" borderId="0" xfId="142" applyFont="1" applyAlignment="1">
      <alignment horizontal="left" vertical="center"/>
    </xf>
    <xf numFmtId="0" fontId="1" fillId="0" borderId="0" xfId="142" applyFont="1" applyAlignment="1">
      <alignment horizontal="left" vertical="center"/>
    </xf>
    <xf numFmtId="0" fontId="18" fillId="0" borderId="0" xfId="142" applyFont="1" applyAlignment="1">
      <alignment horizontal="center" vertical="center"/>
    </xf>
    <xf numFmtId="0" fontId="1" fillId="0" borderId="0" xfId="142" applyFont="1" applyAlignment="1">
      <alignment horizontal="left" vertical="center" wrapText="1"/>
    </xf>
    <xf numFmtId="0" fontId="12" fillId="0" borderId="0" xfId="142" applyFont="1" applyAlignment="1">
      <alignment horizontal="center" vertical="center"/>
    </xf>
    <xf numFmtId="0" fontId="12" fillId="0" borderId="0" xfId="142" applyFont="1" applyAlignment="1">
      <alignment horizontal="left" vertical="center"/>
    </xf>
    <xf numFmtId="0" fontId="24" fillId="0" borderId="0" xfId="142" applyFont="1" applyAlignment="1">
      <alignment horizontal="center" vertical="center"/>
    </xf>
    <xf numFmtId="0" fontId="12" fillId="0" borderId="43" xfId="142" applyFont="1" applyBorder="1" applyAlignment="1" applyProtection="1">
      <alignment horizontal="center" vertical="center"/>
      <protection locked="0"/>
    </xf>
    <xf numFmtId="0" fontId="24" fillId="0" borderId="0" xfId="142" applyFont="1" applyBorder="1" applyAlignment="1">
      <alignment horizontal="right" vertical="center"/>
    </xf>
    <xf numFmtId="14" fontId="12" fillId="0" borderId="43" xfId="142" applyNumberFormat="1" applyFont="1" applyBorder="1" applyAlignment="1" applyProtection="1">
      <alignment horizontal="center" vertical="center"/>
      <protection locked="0"/>
    </xf>
    <xf numFmtId="0" fontId="24" fillId="0" borderId="0" xfId="142" applyFont="1" applyAlignment="1">
      <alignment horizontal="right" vertical="center"/>
    </xf>
    <xf numFmtId="0" fontId="13" fillId="0" borderId="0" xfId="124" applyFont="1" applyAlignment="1">
      <alignment vertical="center"/>
    </xf>
    <xf numFmtId="0" fontId="13" fillId="0" borderId="0" xfId="142" applyFont="1" applyBorder="1" applyAlignment="1">
      <alignment vertical="center"/>
    </xf>
    <xf numFmtId="187" fontId="13" fillId="0" borderId="41" xfId="142" applyNumberFormat="1" applyFont="1" applyBorder="1" applyAlignment="1" applyProtection="1">
      <alignment horizontal="left" vertical="top"/>
      <protection locked="0"/>
    </xf>
    <xf numFmtId="187" fontId="13" fillId="0" borderId="10" xfId="142" applyNumberFormat="1" applyFont="1" applyBorder="1" applyAlignment="1" applyProtection="1">
      <alignment horizontal="left" vertical="top"/>
      <protection locked="0"/>
    </xf>
    <xf numFmtId="187" fontId="13" fillId="0" borderId="37" xfId="142" applyNumberFormat="1" applyFont="1" applyBorder="1" applyAlignment="1" applyProtection="1">
      <alignment horizontal="left" vertical="top"/>
      <protection locked="0"/>
    </xf>
    <xf numFmtId="0" fontId="52" fillId="0" borderId="0" xfId="142" applyFont="1" applyBorder="1" applyAlignment="1" applyProtection="1">
      <alignment vertical="center" wrapText="1"/>
      <protection locked="0"/>
    </xf>
    <xf numFmtId="0" fontId="52" fillId="0" borderId="0" xfId="142" applyFont="1" applyBorder="1" applyAlignment="1">
      <alignment vertical="center" wrapText="1"/>
    </xf>
    <xf numFmtId="0" fontId="53" fillId="0" borderId="0" xfId="142" applyFont="1" applyAlignment="1">
      <alignment vertical="center"/>
    </xf>
    <xf numFmtId="0" fontId="14" fillId="0" borderId="0" xfId="142" applyFont="1" applyBorder="1" applyAlignment="1">
      <alignment vertical="center" wrapText="1"/>
    </xf>
    <xf numFmtId="0" fontId="17" fillId="0" borderId="0" xfId="142" applyFont="1" applyAlignment="1">
      <alignment vertical="center"/>
    </xf>
    <xf numFmtId="0" fontId="54" fillId="0" borderId="0" xfId="142" applyFont="1" applyBorder="1" applyAlignment="1">
      <alignment vertical="center" wrapText="1"/>
    </xf>
    <xf numFmtId="0" fontId="18" fillId="0" borderId="0" xfId="124" applyFont="1" applyAlignment="1">
      <alignment vertical="center"/>
    </xf>
    <xf numFmtId="0" fontId="18" fillId="0" borderId="0" xfId="124" applyFont="1" applyAlignment="1">
      <alignment horizontal="right" vertical="center"/>
    </xf>
    <xf numFmtId="0" fontId="0" fillId="0" borderId="0" xfId="0" applyAlignment="1"/>
    <xf numFmtId="0" fontId="0" fillId="0" borderId="0" xfId="0" applyFont="1"/>
    <xf numFmtId="0" fontId="0" fillId="0" borderId="0" xfId="0" applyFont="1" applyAlignment="1"/>
    <xf numFmtId="0" fontId="55" fillId="0" borderId="0" xfId="0" applyFont="1"/>
    <xf numFmtId="0" fontId="56" fillId="0" borderId="0" xfId="0" applyFont="1"/>
    <xf numFmtId="0" fontId="56" fillId="0" borderId="0" xfId="0" applyFont="1" applyAlignment="1">
      <alignment wrapText="1"/>
    </xf>
    <xf numFmtId="0" fontId="55" fillId="0" borderId="0" xfId="0" applyFont="1" applyAlignment="1">
      <alignment vertical="top"/>
    </xf>
    <xf numFmtId="0" fontId="55" fillId="0" borderId="0" xfId="0" applyFont="1" applyAlignment="1">
      <alignment vertical="top" wrapText="1"/>
    </xf>
    <xf numFmtId="0" fontId="55" fillId="0" borderId="0" xfId="0" applyFont="1" applyAlignment="1">
      <alignment wrapText="1"/>
    </xf>
    <xf numFmtId="0" fontId="0" fillId="0" borderId="0" xfId="0" applyAlignment="1">
      <alignment wrapText="1"/>
    </xf>
    <xf numFmtId="0" fontId="18" fillId="0" borderId="20" xfId="137" applyFont="1" applyFill="1" applyBorder="1" applyAlignment="1" applyProtection="1">
      <alignment vertical="center"/>
      <protection locked="0"/>
    </xf>
    <xf numFmtId="0" fontId="18" fillId="0" borderId="20" xfId="137" applyFont="1" applyFill="1" applyBorder="1" applyAlignment="1" applyProtection="1">
      <alignment vertical="center" wrapText="1" shrinkToFit="1"/>
      <protection locked="0"/>
    </xf>
    <xf numFmtId="0" fontId="18" fillId="0" borderId="5" xfId="137" applyFont="1" applyFill="1" applyBorder="1" applyAlignment="1" applyProtection="1">
      <alignment vertical="center" shrinkToFit="1"/>
      <protection locked="0"/>
    </xf>
    <xf numFmtId="0" fontId="0" fillId="0" borderId="0" xfId="0" applyFill="1" applyBorder="1" applyAlignment="1">
      <alignment wrapText="1"/>
    </xf>
    <xf numFmtId="0" fontId="56" fillId="0" borderId="0" xfId="0" applyFont="1" applyAlignment="1">
      <alignment vertical="top"/>
    </xf>
    <xf numFmtId="0" fontId="18" fillId="0" borderId="18" xfId="137" applyFont="1" applyFill="1" applyBorder="1" applyAlignment="1" applyProtection="1">
      <alignment vertical="center"/>
      <protection locked="0"/>
    </xf>
    <xf numFmtId="0" fontId="18" fillId="0" borderId="5" xfId="137" applyFont="1" applyFill="1" applyBorder="1" applyAlignment="1" applyProtection="1">
      <alignment vertical="center"/>
      <protection locked="0"/>
    </xf>
    <xf numFmtId="0" fontId="18" fillId="0" borderId="18" xfId="137" applyFont="1" applyFill="1" applyBorder="1" applyAlignment="1" applyProtection="1">
      <alignment vertical="center" wrapText="1"/>
      <protection locked="0"/>
    </xf>
    <xf numFmtId="0" fontId="51" fillId="0" borderId="18" xfId="137" applyFont="1" applyFill="1" applyBorder="1" applyAlignment="1" applyProtection="1">
      <alignment vertical="center" wrapText="1"/>
      <protection locked="0"/>
    </xf>
    <xf numFmtId="0" fontId="18" fillId="0" borderId="18" xfId="137" applyFont="1" applyFill="1" applyBorder="1" applyAlignment="1" applyProtection="1">
      <alignment vertical="center" wrapText="1" shrinkToFit="1"/>
      <protection locked="0"/>
    </xf>
    <xf numFmtId="0" fontId="0" fillId="0" borderId="0" xfId="0" applyFont="1" applyAlignment="1">
      <alignment wrapText="1"/>
    </xf>
    <xf numFmtId="0" fontId="57" fillId="0" borderId="0" xfId="0" applyFont="1" applyAlignment="1"/>
    <xf numFmtId="0" fontId="57" fillId="0" borderId="0" xfId="0" applyFont="1"/>
    <xf numFmtId="0" fontId="0" fillId="0" borderId="0" xfId="0" applyAlignment="1">
      <alignment vertical="center" wrapText="1"/>
    </xf>
    <xf numFmtId="0" fontId="5" fillId="0" borderId="8" xfId="137" applyFont="1" applyFill="1" applyBorder="1" applyAlignment="1" applyProtection="1">
      <alignment vertical="center"/>
      <protection locked="0"/>
    </xf>
    <xf numFmtId="0" fontId="58" fillId="0" borderId="18" xfId="137" applyFont="1" applyFill="1" applyBorder="1" applyAlignment="1" applyProtection="1">
      <alignment vertical="center" shrinkToFit="1"/>
      <protection locked="0"/>
    </xf>
    <xf numFmtId="0" fontId="59" fillId="0" borderId="18" xfId="137" applyFont="1" applyFill="1" applyBorder="1" applyAlignment="1" applyProtection="1">
      <alignment vertical="center" shrinkToFit="1"/>
      <protection locked="0"/>
    </xf>
    <xf numFmtId="0" fontId="58" fillId="0" borderId="18" xfId="137" applyFont="1" applyFill="1" applyBorder="1" applyAlignment="1" applyProtection="1">
      <alignment horizontal="left" vertical="center" shrinkToFit="1"/>
      <protection locked="0"/>
    </xf>
    <xf numFmtId="0" fontId="0" fillId="0" borderId="0" xfId="0" applyFill="1" applyBorder="1"/>
    <xf numFmtId="0" fontId="5" fillId="0" borderId="9" xfId="137" applyFont="1" applyFill="1" applyBorder="1" applyAlignment="1" applyProtection="1">
      <alignment vertical="center"/>
      <protection locked="0"/>
    </xf>
    <xf numFmtId="0" fontId="18" fillId="0" borderId="5" xfId="137" applyFont="1" applyFill="1" applyBorder="1" applyAlignment="1" applyProtection="1">
      <alignment horizontal="center" vertical="center" shrinkToFit="1"/>
      <protection locked="0"/>
    </xf>
    <xf numFmtId="0" fontId="18" fillId="0" borderId="5" xfId="137" applyFont="1" applyFill="1" applyBorder="1" applyAlignment="1" applyProtection="1">
      <alignment horizontal="center" vertical="center"/>
      <protection locked="0"/>
    </xf>
    <xf numFmtId="0" fontId="60" fillId="0" borderId="20" xfId="137" applyFont="1" applyFill="1" applyBorder="1" applyAlignment="1" applyProtection="1">
      <alignment horizontal="left" vertical="center" shrinkToFit="1"/>
      <protection locked="0"/>
    </xf>
    <xf numFmtId="0" fontId="60" fillId="0" borderId="18" xfId="137" applyFont="1" applyFill="1" applyBorder="1" applyAlignment="1" applyProtection="1">
      <alignment horizontal="left" vertical="center" shrinkToFit="1"/>
      <protection locked="0"/>
    </xf>
    <xf numFmtId="0" fontId="58" fillId="0" borderId="20" xfId="137" applyFont="1" applyFill="1" applyBorder="1" applyAlignment="1" applyProtection="1">
      <alignment horizontal="left" vertical="center" shrinkToFit="1"/>
      <protection locked="0"/>
    </xf>
    <xf numFmtId="0" fontId="61" fillId="0" borderId="0" xfId="0" applyFont="1"/>
    <xf numFmtId="0" fontId="62" fillId="0" borderId="0" xfId="0" applyFont="1" applyAlignment="1">
      <alignment horizontal="center" vertical="center"/>
    </xf>
    <xf numFmtId="0" fontId="62" fillId="0" borderId="0" xfId="0" applyFont="1"/>
    <xf numFmtId="0" fontId="35" fillId="0" borderId="79" xfId="0" applyFont="1" applyBorder="1" applyAlignment="1">
      <alignment horizontal="center" vertical="center"/>
    </xf>
    <xf numFmtId="0" fontId="35" fillId="0" borderId="80" xfId="0" applyFont="1" applyBorder="1" applyAlignment="1">
      <alignment horizontal="center" vertical="center"/>
    </xf>
    <xf numFmtId="0" fontId="35" fillId="0" borderId="81" xfId="0" applyFont="1" applyBorder="1" applyAlignment="1">
      <alignment horizontal="center" vertical="center" wrapText="1"/>
    </xf>
    <xf numFmtId="14" fontId="35" fillId="0" borderId="81" xfId="0" applyNumberFormat="1" applyFont="1" applyBorder="1" applyAlignment="1">
      <alignment horizontal="center" vertical="center"/>
    </xf>
    <xf numFmtId="0" fontId="33" fillId="2" borderId="4" xfId="0" applyFont="1" applyFill="1" applyBorder="1" applyAlignment="1">
      <alignment horizontal="center" vertical="center"/>
    </xf>
    <xf numFmtId="0" fontId="33" fillId="2" borderId="0" xfId="0" applyFont="1" applyFill="1" applyBorder="1" applyAlignment="1">
      <alignment horizontal="center" vertical="center"/>
    </xf>
    <xf numFmtId="0" fontId="33" fillId="2" borderId="0" xfId="0" applyFont="1" applyFill="1" applyBorder="1"/>
    <xf numFmtId="0" fontId="33" fillId="2" borderId="6" xfId="0" applyFont="1" applyFill="1" applyBorder="1"/>
    <xf numFmtId="0" fontId="33" fillId="2" borderId="4" xfId="0" applyFont="1" applyFill="1" applyBorder="1"/>
    <xf numFmtId="0" fontId="2" fillId="2" borderId="0" xfId="15" applyFill="1" applyBorder="1" applyAlignment="1" applyProtection="1">
      <alignment horizontal="left" vertical="center"/>
    </xf>
    <xf numFmtId="0" fontId="33" fillId="2" borderId="7" xfId="0" applyFont="1" applyFill="1" applyBorder="1" applyAlignment="1">
      <alignment horizontal="center" vertical="center"/>
    </xf>
    <xf numFmtId="0" fontId="33" fillId="2" borderId="8" xfId="0" applyFont="1" applyFill="1" applyBorder="1" applyAlignment="1">
      <alignment horizontal="center" vertical="center"/>
    </xf>
    <xf numFmtId="0" fontId="33" fillId="2" borderId="9" xfId="0" applyFont="1" applyFill="1" applyBorder="1"/>
  </cellXfs>
  <cellStyles count="160">
    <cellStyle name="常规" xfId="0" builtinId="0"/>
    <cellStyle name="货币[0]" xfId="1" builtinId="7"/>
    <cellStyle name="20% - 强调文字颜色 3" xfId="2" builtinId="38"/>
    <cellStyle name="输入" xfId="3" builtinId="20"/>
    <cellStyle name="货币" xfId="4" builtinId="4"/>
    <cellStyle name="着色 2 2" xfId="5"/>
    <cellStyle name="20% - 着色 6 2" xfId="6"/>
    <cellStyle name="千位分隔[0]" xfId="7" builtinId="6"/>
    <cellStyle name="20% - Accent4" xfId="8"/>
    <cellStyle name="40% - 强调文字颜色 3" xfId="9" builtinId="39"/>
    <cellStyle name="计算 2" xfId="10"/>
    <cellStyle name="Input 2" xfId="11"/>
    <cellStyle name="差" xfId="12" builtinId="27"/>
    <cellStyle name="千位分隔" xfId="13" builtinId="3"/>
    <cellStyle name="60% - 强调文字颜色 3" xfId="14" builtinId="40"/>
    <cellStyle name="超链接" xfId="15" builtinId="8"/>
    <cellStyle name="百分比" xfId="16" builtinId="5"/>
    <cellStyle name="已访问的超链接" xfId="17" builtinId="9"/>
    <cellStyle name="好_StartUp" xfId="18"/>
    <cellStyle name="注释" xfId="19" builtinId="10"/>
    <cellStyle name="常规 6" xfId="20"/>
    <cellStyle name="60% - 强调文字颜色 2" xfId="21" builtinId="36"/>
    <cellStyle name="标题 4" xfId="22" builtinId="19"/>
    <cellStyle name="警告文本" xfId="23" builtinId="11"/>
    <cellStyle name="标题" xfId="24" builtinId="15"/>
    <cellStyle name="解释性文本" xfId="25" builtinId="53"/>
    <cellStyle name="标题 1" xfId="26" builtinId="16"/>
    <cellStyle name="标题 2" xfId="27" builtinId="17"/>
    <cellStyle name="60% - 强调文字颜色 1" xfId="28" builtinId="32"/>
    <cellStyle name="标题 3" xfId="29" builtinId="18"/>
    <cellStyle name="60% - 强调文字颜色 4" xfId="30" builtinId="44"/>
    <cellStyle name="输出" xfId="31" builtinId="21"/>
    <cellStyle name="计算" xfId="32" builtinId="22"/>
    <cellStyle name="Input" xfId="33"/>
    <cellStyle name="检查单元格" xfId="34" builtinId="23"/>
    <cellStyle name="20% - 着色 1 2" xfId="35"/>
    <cellStyle name="链接单元格" xfId="36" builtinId="24"/>
    <cellStyle name="40% - 着色 5 2" xfId="37"/>
    <cellStyle name="20% - 强调文字颜色 6" xfId="38" builtinId="50"/>
    <cellStyle name="强调文字颜色 2" xfId="39" builtinId="33"/>
    <cellStyle name="汇总" xfId="40" builtinId="25"/>
    <cellStyle name="好" xfId="41" builtinId="26"/>
    <cellStyle name="适中" xfId="42" builtinId="28"/>
    <cellStyle name="Heading 3" xfId="43"/>
    <cellStyle name="20% - 强调文字颜色 5" xfId="44" builtinId="46"/>
    <cellStyle name="强调文字颜色 1" xfId="45" builtinId="29"/>
    <cellStyle name="20% - 着色 2 2" xfId="46"/>
    <cellStyle name="20% - 强调文字颜色 1" xfId="47" builtinId="30"/>
    <cellStyle name="20% - Accent2" xfId="48"/>
    <cellStyle name="40% - 强调文字颜色 1" xfId="49" builtinId="31"/>
    <cellStyle name="20% - 强调文字颜色 2" xfId="50" builtinId="34"/>
    <cellStyle name="输出 2" xfId="51"/>
    <cellStyle name="20% - Accent3" xfId="52"/>
    <cellStyle name="40% - 强调文字颜色 2" xfId="53" builtinId="35"/>
    <cellStyle name="强调文字颜色 3" xfId="54" builtinId="37"/>
    <cellStyle name="强调文字颜色 4" xfId="55" builtinId="41"/>
    <cellStyle name="20% - 强调文字颜色 4" xfId="56" builtinId="42"/>
    <cellStyle name="40% - 强调文字颜色 4" xfId="57" builtinId="43"/>
    <cellStyle name="强调文字颜色 5" xfId="58" builtinId="45"/>
    <cellStyle name="40% - 强调文字颜色 5" xfId="59" builtinId="47"/>
    <cellStyle name="60% - 着色 6 2" xfId="60"/>
    <cellStyle name="60% - 强调文字颜色 5" xfId="61" builtinId="48"/>
    <cellStyle name="强调文字颜色 6" xfId="62" builtinId="49"/>
    <cellStyle name="着色 5 2" xfId="63"/>
    <cellStyle name="适中 2" xfId="64"/>
    <cellStyle name="40% - 强调文字颜色 6" xfId="65" builtinId="51"/>
    <cellStyle name="60% - 强调文字颜色 6" xfId="66" builtinId="52"/>
    <cellStyle name="20% - Accent5" xfId="67"/>
    <cellStyle name="20% - Accent6" xfId="68"/>
    <cellStyle name="20% - 着色 3 2" xfId="69"/>
    <cellStyle name="20% - Accent1" xfId="70"/>
    <cellStyle name="20% - 着色 4 2" xfId="71"/>
    <cellStyle name="着色 1 2" xfId="72"/>
    <cellStyle name="20% - 着色 5 2" xfId="73"/>
    <cellStyle name="40% - Accent1" xfId="74"/>
    <cellStyle name="40% - Accent2" xfId="75"/>
    <cellStyle name="40% - Accent3" xfId="76"/>
    <cellStyle name="40% - Accent4" xfId="77"/>
    <cellStyle name="警告文本 2" xfId="78"/>
    <cellStyle name="40% - Accent5" xfId="79"/>
    <cellStyle name="40% - Accent6" xfId="80"/>
    <cellStyle name="Accent5" xfId="81"/>
    <cellStyle name="40% - 着色 1 2" xfId="82"/>
    <cellStyle name="40% - 着色 2 2" xfId="83"/>
    <cellStyle name="40% - 着色 3 2" xfId="84"/>
    <cellStyle name="40% - 着色 4 2" xfId="85"/>
    <cellStyle name="40% - 着色 6 2" xfId="86"/>
    <cellStyle name="60% - Accent1" xfId="87"/>
    <cellStyle name="60% - Accent2" xfId="88"/>
    <cellStyle name="60% - Accent3" xfId="89"/>
    <cellStyle name="Normal_Sheet1" xfId="90"/>
    <cellStyle name="60% - Accent4" xfId="91"/>
    <cellStyle name="60% - Accent5" xfId="92"/>
    <cellStyle name="60% - Accent6" xfId="93"/>
    <cellStyle name="60% - 着色 1 2" xfId="94"/>
    <cellStyle name="货币 2" xfId="95"/>
    <cellStyle name="60% - 着色 2 2" xfId="96"/>
    <cellStyle name="60% - 着色 3 2" xfId="97"/>
    <cellStyle name="60% - 着色 4 2" xfId="98"/>
    <cellStyle name="60% - 着色 5 2" xfId="99"/>
    <cellStyle name="Accent1" xfId="100"/>
    <cellStyle name="Accent2" xfId="101"/>
    <cellStyle name="Accent3" xfId="102"/>
    <cellStyle name="Accent4" xfId="103"/>
    <cellStyle name="Accent6" xfId="104"/>
    <cellStyle name="Bad" xfId="105"/>
    <cellStyle name="Calculation" xfId="106"/>
    <cellStyle name="Calculation 2" xfId="107"/>
    <cellStyle name="Check Cell" xfId="108"/>
    <cellStyle name="Explanatory Text" xfId="109"/>
    <cellStyle name="Good" xfId="110"/>
    <cellStyle name="Heading 1" xfId="111"/>
    <cellStyle name="Heading 2" xfId="112"/>
    <cellStyle name="Heading 4" xfId="113"/>
    <cellStyle name="检查单元格 2" xfId="114"/>
    <cellStyle name="Linked Cell" xfId="115"/>
    <cellStyle name="Neutral" xfId="116"/>
    <cellStyle name="Normal 4" xfId="117"/>
    <cellStyle name="Normal_DMD12345_T12345_1st" xfId="118"/>
    <cellStyle name="Note" xfId="119"/>
    <cellStyle name="标题 5" xfId="120"/>
    <cellStyle name="Note 2" xfId="121"/>
    <cellStyle name="Output" xfId="122"/>
    <cellStyle name="Output 2" xfId="123"/>
    <cellStyle name="常规 2" xfId="124"/>
    <cellStyle name="Title" xfId="125"/>
    <cellStyle name="Total" xfId="126"/>
    <cellStyle name="Total 2" xfId="127"/>
    <cellStyle name="Warning Text" xfId="128"/>
    <cellStyle name="标题 1 2" xfId="129"/>
    <cellStyle name="标题 2 2" xfId="130"/>
    <cellStyle name="标题 3 2" xfId="131"/>
    <cellStyle name="标题 4 2" xfId="132"/>
    <cellStyle name="差 2" xfId="133"/>
    <cellStyle name="差_StartUp" xfId="134"/>
    <cellStyle name="常规 3" xfId="135"/>
    <cellStyle name="常规 4" xfId="136"/>
    <cellStyle name="常规 5" xfId="137"/>
    <cellStyle name="注释 2" xfId="138"/>
    <cellStyle name="常规 6 2" xfId="139"/>
    <cellStyle name="注释 2 2" xfId="140"/>
    <cellStyle name="常规 6 2 2" xfId="141"/>
    <cellStyle name="常规_C08.C-RUN模具测试总结报告" xfId="142"/>
    <cellStyle name="常规_Optimize new v1.82 注塑工艺优化检讨表-样板" xfId="143"/>
    <cellStyle name="常规_Systematic Process Develpment_11-18-10 Blank R3" xfId="144"/>
    <cellStyle name="常规_科学注塑表格" xfId="145"/>
    <cellStyle name="常规_试模参数记录表 TRIAL REPORT " xfId="146"/>
    <cellStyle name="好 2" xfId="147"/>
    <cellStyle name="汇总 2" xfId="148"/>
    <cellStyle name="汇总 2 2" xfId="149"/>
    <cellStyle name="计算 2 2" xfId="150"/>
    <cellStyle name="一般_511505001" xfId="151"/>
    <cellStyle name="解释性文本 2" xfId="152"/>
    <cellStyle name="链接单元格 2" xfId="153"/>
    <cellStyle name="输出 2 2" xfId="154"/>
    <cellStyle name="输入 2" xfId="155"/>
    <cellStyle name="输入 2 2" xfId="156"/>
    <cellStyle name="着色 3 2" xfId="157"/>
    <cellStyle name="着色 4 2" xfId="158"/>
    <cellStyle name="着色 6 2" xfId="159"/>
  </cellStyles>
  <dxfs count="3">
    <dxf>
      <font>
        <color indexed="10"/>
      </font>
    </dxf>
    <dxf>
      <font>
        <b val="1"/>
        <i val="0"/>
        <color indexed="12"/>
      </font>
    </dxf>
    <dxf>
      <font>
        <b val="1"/>
        <i val="0"/>
        <color indexed="10"/>
      </font>
    </dxf>
  </dxfs>
  <tableStyles count="0" defaultTableStyle="TableStyleMedium2" defaultPivotStyle="PivotStyleLight16"/>
  <colors>
    <mruColors>
      <color rgb="0061F1CF"/>
      <color rgb="0070E2B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2000" b="1" i="0" u="none" strike="noStrike" kern="1200" cap="all" spc="120" normalizeH="0" baseline="0">
                <a:solidFill>
                  <a:schemeClr val="tx1">
                    <a:lumMod val="65000"/>
                    <a:lumOff val="35000"/>
                  </a:schemeClr>
                </a:solidFill>
                <a:latin typeface="+mn-lt"/>
                <a:ea typeface="+mn-ea"/>
                <a:cs typeface="+mn-cs"/>
              </a:defRPr>
            </a:pPr>
            <a:r>
              <a:rPr lang="zh-CN" altLang="en-US" sz="1600"/>
              <a:t>粘度测试</a:t>
            </a:r>
            <a:endParaRPr lang="en-US" sz="1600"/>
          </a:p>
          <a:p>
            <a:pPr>
              <a:defRPr lang="zh-CN" sz="2000" b="1" i="0" u="none" strike="noStrike" kern="1200" cap="all" spc="120" normalizeH="0" baseline="0">
                <a:solidFill>
                  <a:schemeClr val="tx1">
                    <a:lumMod val="65000"/>
                    <a:lumOff val="35000"/>
                  </a:schemeClr>
                </a:solidFill>
                <a:latin typeface="+mn-lt"/>
                <a:ea typeface="+mn-ea"/>
                <a:cs typeface="+mn-cs"/>
              </a:defRPr>
            </a:pPr>
            <a:r>
              <a:rPr lang="en-US" sz="1600"/>
              <a:t>Viscosity Test</a:t>
            </a:r>
            <a:endParaRPr lang="en-US" sz="1600"/>
          </a:p>
        </c:rich>
      </c:tx>
      <c:layout>
        <c:manualLayout>
          <c:xMode val="edge"/>
          <c:yMode val="edge"/>
          <c:x val="0.374100644826804"/>
          <c:y val="0.000601667001256571"/>
        </c:manualLayout>
      </c:layout>
      <c:overlay val="0"/>
      <c:spPr>
        <a:noFill/>
        <a:ln>
          <a:noFill/>
        </a:ln>
        <a:effectLst/>
      </c:spPr>
    </c:title>
    <c:autoTitleDeleted val="0"/>
    <c:plotArea>
      <c:layout>
        <c:manualLayout>
          <c:layoutTarget val="inner"/>
          <c:xMode val="edge"/>
          <c:yMode val="edge"/>
          <c:x val="0.119124340586816"/>
          <c:y val="0.124486850444739"/>
          <c:w val="0.835108681881023"/>
          <c:h val="0.691100967316936"/>
        </c:manualLayout>
      </c:layout>
      <c:scatterChart>
        <c:scatterStyle val="smoothMarker"/>
        <c:varyColors val="0"/>
        <c:ser>
          <c:idx val="0"/>
          <c:order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delete val="1"/>
          </c:dLbls>
          <c:xVal>
            <c:numRef>
              <c:f>有效粘度测试!$L$11:$L$21</c:f>
              <c:numCache>
                <c:formatCode>General</c:formatCode>
                <c:ptCount val="11"/>
              </c:numCache>
            </c:numRef>
          </c:xVal>
          <c:yVal>
            <c:numRef>
              <c:f>有效粘度测试!$M$11:$M$21</c:f>
              <c:numCache>
                <c:formatCode>General</c:formatCode>
                <c:ptCount val="11"/>
              </c:numCache>
            </c:numRef>
          </c:yVal>
          <c:smooth val="1"/>
        </c:ser>
        <c:ser>
          <c:idx val="1"/>
          <c:order val="1"/>
          <c:spPr>
            <a:ln w="22225" cap="rnd">
              <a:solidFill>
                <a:schemeClr val="accent2"/>
              </a:solidFill>
              <a:round/>
            </a:ln>
            <a:effectLst/>
          </c:spPr>
          <c:marker>
            <c:symbol val="square"/>
            <c:size val="6"/>
            <c:spPr>
              <a:solidFill>
                <a:schemeClr val="accent2"/>
              </a:solidFill>
              <a:ln w="9525">
                <a:solidFill>
                  <a:schemeClr val="accent2"/>
                </a:solidFill>
                <a:round/>
              </a:ln>
              <a:effectLst/>
            </c:spPr>
          </c:marker>
          <c:dLbls>
            <c:delete val="1"/>
          </c:dLbls>
          <c:xVal>
            <c:numRef>
              <c:f>有效粘度测试!$L$11:$L$21</c:f>
              <c:numCache>
                <c:formatCode>General</c:formatCode>
                <c:ptCount val="11"/>
              </c:numCache>
            </c:numRef>
          </c:xVal>
          <c:yVal>
            <c:numRef>
              <c:f>有效粘度测试!$N$11:$N$21</c:f>
              <c:numCache>
                <c:formatCode>General</c:formatCode>
                <c:ptCount val="11"/>
              </c:numCache>
            </c:numRef>
          </c:yVal>
          <c:smooth val="1"/>
        </c:ser>
        <c:ser>
          <c:idx val="2"/>
          <c:order val="2"/>
          <c:spPr>
            <a:ln w="22225" cap="rnd">
              <a:solidFill>
                <a:schemeClr val="accent3"/>
              </a:solidFill>
              <a:round/>
            </a:ln>
            <a:effectLst/>
          </c:spPr>
          <c:marker>
            <c:symbol val="triangle"/>
            <c:size val="6"/>
            <c:spPr>
              <a:solidFill>
                <a:schemeClr val="accent3"/>
              </a:solidFill>
              <a:ln w="9525">
                <a:solidFill>
                  <a:schemeClr val="accent3"/>
                </a:solidFill>
                <a:round/>
              </a:ln>
              <a:effectLst/>
            </c:spPr>
          </c:marker>
          <c:dLbls>
            <c:delete val="1"/>
          </c:dLbls>
          <c:xVal>
            <c:numRef>
              <c:f>有效粘度测试!$L$11:$L$21</c:f>
              <c:numCache>
                <c:formatCode>General</c:formatCode>
                <c:ptCount val="11"/>
              </c:numCache>
            </c:numRef>
          </c:xVal>
          <c:yVal>
            <c:numRef>
              <c:f>有效粘度测试!$O$11:$O$21</c:f>
              <c:numCache>
                <c:formatCode>General</c:formatCode>
                <c:ptCount val="11"/>
              </c:numCache>
            </c:numRef>
          </c:yVal>
          <c:smooth val="1"/>
        </c:ser>
        <c:dLbls>
          <c:showLegendKey val="0"/>
          <c:showVal val="0"/>
          <c:showCatName val="0"/>
          <c:showSerName val="0"/>
          <c:showPercent val="0"/>
          <c:showBubbleSize val="0"/>
        </c:dLbls>
        <c:axId val="358436304"/>
        <c:axId val="358436864"/>
      </c:scatterChart>
      <c:valAx>
        <c:axId val="358436304"/>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zh-CN" sz="900" b="1" i="0" u="none" strike="noStrike" kern="1200" cap="all" baseline="0">
                    <a:solidFill>
                      <a:schemeClr val="tx1">
                        <a:lumMod val="65000"/>
                        <a:lumOff val="35000"/>
                      </a:schemeClr>
                    </a:solidFill>
                    <a:latin typeface="+mn-lt"/>
                    <a:ea typeface="+mn-ea"/>
                    <a:cs typeface="+mn-cs"/>
                  </a:defRPr>
                </a:pPr>
                <a:r>
                  <a:rPr lang="zh-CN" altLang="en-US" sz="1400" b="1"/>
                  <a:t>剪切速率</a:t>
                </a:r>
                <a:endParaRPr lang="en-US" sz="1400" b="1"/>
              </a:p>
              <a:p>
                <a:pPr>
                  <a:defRPr lang="zh-CN" sz="900" b="1" i="0" u="none" strike="noStrike" kern="1200" cap="all" baseline="0">
                    <a:solidFill>
                      <a:schemeClr val="tx1">
                        <a:lumMod val="65000"/>
                        <a:lumOff val="35000"/>
                      </a:schemeClr>
                    </a:solidFill>
                    <a:latin typeface="+mn-lt"/>
                    <a:ea typeface="+mn-ea"/>
                    <a:cs typeface="+mn-cs"/>
                  </a:defRPr>
                </a:pPr>
                <a:r>
                  <a:rPr lang="en-US" sz="1400" b="1"/>
                  <a:t>Shear Rate</a:t>
                </a:r>
                <a:endParaRPr lang="en-US" sz="1400" b="1"/>
              </a:p>
            </c:rich>
          </c:tx>
          <c:layout>
            <c:manualLayout>
              <c:xMode val="edge"/>
              <c:yMode val="edge"/>
              <c:x val="0.424856282444374"/>
              <c:y val="0.884890421726605"/>
            </c:manualLayout>
          </c:layout>
          <c:overlay val="0"/>
          <c:spPr>
            <a:noFill/>
            <a:ln>
              <a:noFill/>
            </a:ln>
            <a:effectLst/>
          </c:sp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0" spcFirstLastPara="1" vertOverflow="ellipsis" vert="horz" wrap="square" anchor="ctr" anchorCtr="1"/>
          <a:lstStyle/>
          <a:p>
            <a:pPr>
              <a:defRPr lang="zh-CN" sz="1400" b="0" i="0" u="none" strike="noStrike" kern="1200" baseline="0">
                <a:solidFill>
                  <a:schemeClr val="tx1">
                    <a:lumMod val="65000"/>
                    <a:lumOff val="35000"/>
                  </a:schemeClr>
                </a:solidFill>
                <a:latin typeface="+mn-lt"/>
                <a:ea typeface="+mn-ea"/>
                <a:cs typeface="+mn-cs"/>
              </a:defRPr>
            </a:pPr>
          </a:p>
        </c:txPr>
        <c:crossAx val="358436864"/>
        <c:crossesAt val="0"/>
        <c:crossBetween val="midCat"/>
      </c:valAx>
      <c:valAx>
        <c:axId val="358436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zh-CN" sz="1600" b="1" i="0" u="none" strike="noStrike" kern="1200" cap="all" baseline="0">
                    <a:solidFill>
                      <a:schemeClr val="tx1">
                        <a:lumMod val="65000"/>
                        <a:lumOff val="35000"/>
                      </a:schemeClr>
                    </a:solidFill>
                    <a:latin typeface="+mn-lt"/>
                    <a:ea typeface="+mn-ea"/>
                    <a:cs typeface="+mn-cs"/>
                  </a:defRPr>
                </a:pPr>
                <a:r>
                  <a:rPr lang="zh-CN" altLang="en-US" sz="1400" b="1"/>
                  <a:t>有效粘度</a:t>
                </a:r>
                <a:r>
                  <a:rPr lang="zh-CN" sz="1400" b="1"/>
                  <a:t> </a:t>
                </a:r>
                <a:br>
                  <a:rPr lang="en-US" altLang="zh-CN" sz="1400" b="1"/>
                </a:br>
                <a:r>
                  <a:rPr lang="en-US" sz="1400" b="1"/>
                  <a:t>Relative Viscosity</a:t>
                </a:r>
                <a:endParaRPr lang="en-US" sz="1400" b="1"/>
              </a:p>
            </c:rich>
          </c:tx>
          <c:layout>
            <c:manualLayout>
              <c:xMode val="edge"/>
              <c:yMode val="edge"/>
              <c:x val="0.0007329344450467"/>
              <c:y val="0.302541768499783"/>
            </c:manualLayout>
          </c:layout>
          <c:overlay val="0"/>
          <c:spPr>
            <a:noFill/>
            <a:ln>
              <a:noFill/>
            </a:ln>
            <a:effectLst/>
          </c:spPr>
        </c:title>
        <c:numFmt formatCode="0.00;[Red]0.00" sourceLinked="0"/>
        <c:majorTickMark val="none"/>
        <c:minorTickMark val="none"/>
        <c:tickLblPos val="nextTo"/>
        <c:spPr>
          <a:noFill/>
          <a:ln w="9525" cap="flat" cmpd="sng" algn="ctr">
            <a:solidFill>
              <a:schemeClr val="dk1">
                <a:lumMod val="15000"/>
                <a:lumOff val="85000"/>
              </a:schemeClr>
            </a:solidFill>
            <a:round/>
          </a:ln>
          <a:effectLst/>
        </c:spPr>
        <c:txPr>
          <a:bodyPr rot="0" spcFirstLastPara="1" vertOverflow="ellipsis" vert="horz" wrap="square" anchor="ctr" anchorCtr="1"/>
          <a:lstStyle/>
          <a:p>
            <a:pPr>
              <a:defRPr lang="zh-CN" sz="1400" b="0" i="0" u="none" strike="noStrike" kern="1200" baseline="0">
                <a:solidFill>
                  <a:schemeClr val="tx1">
                    <a:lumMod val="65000"/>
                    <a:lumOff val="35000"/>
                  </a:schemeClr>
                </a:solidFill>
                <a:latin typeface="+mn-lt"/>
                <a:ea typeface="+mn-ea"/>
                <a:cs typeface="+mn-cs"/>
              </a:defRPr>
            </a:pPr>
          </a:p>
        </c:txPr>
        <c:crossAx val="358436304"/>
        <c:crossesAt val="0"/>
        <c:crossBetween val="midCat"/>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压力损失测试</a:t>
            </a:r>
            <a:endParaRPr lang="en-US" altLang="zh-CN"/>
          </a:p>
          <a:p>
            <a:pPr>
              <a:defRPr lang="zh-CN" sz="1400" b="0" i="0" u="none" strike="noStrike" kern="1200" spc="0" baseline="0">
                <a:solidFill>
                  <a:schemeClr val="tx1">
                    <a:lumMod val="65000"/>
                    <a:lumOff val="35000"/>
                  </a:schemeClr>
                </a:solidFill>
                <a:latin typeface="+mn-lt"/>
                <a:ea typeface="+mn-ea"/>
                <a:cs typeface="+mn-cs"/>
              </a:defRPr>
            </a:pPr>
            <a:r>
              <a:rPr lang="en-US" altLang="zh-CN"/>
              <a:t>pressure loss test</a:t>
            </a:r>
            <a:endParaRPr lang="en-US" altLang="zh-CN"/>
          </a:p>
        </c:rich>
      </c:tx>
      <c:layout/>
      <c:overlay val="0"/>
      <c:spPr>
        <a:noFill/>
        <a:ln>
          <a:noFill/>
        </a:ln>
        <a:effectLst/>
      </c:spPr>
    </c:title>
    <c:autoTitleDeleted val="0"/>
    <c:plotArea>
      <c:layout>
        <c:manualLayout>
          <c:layoutTarget val="inner"/>
          <c:xMode val="edge"/>
          <c:yMode val="edge"/>
          <c:x val="0.10439998302039"/>
          <c:y val="0.203247367404437"/>
          <c:w val="0.875695244294144"/>
          <c:h val="0.586343805990529"/>
        </c:manualLayout>
      </c:layout>
      <c:barChart>
        <c:barDir val="col"/>
        <c:grouping val="clustered"/>
        <c:varyColors val="0"/>
        <c:ser>
          <c:idx val="0"/>
          <c:order val="0"/>
          <c:tx>
            <c:strRef>
              <c:f>压力损失测试!$E$6:$E$22</c:f>
              <c:strCache>
                <c:ptCount val="1"/>
                <c:pt idx="0">
                  <c:v/>
                </c:pt>
              </c:strCache>
            </c:strRef>
          </c:tx>
          <c:spPr>
            <a:solidFill>
              <a:schemeClr val="accent1"/>
            </a:solidFill>
            <a:ln>
              <a:noFill/>
            </a:ln>
            <a:effectLst/>
          </c:spPr>
          <c:invertIfNegative val="0"/>
          <c:dLbls>
            <c:delete val="1"/>
          </c:dLbls>
          <c:cat>
            <c:strRef>
              <c:f>{"#Fillpart","","","","","","","","","","","","","","","",""}</c:f>
              <c:strCache>
                <c:ptCount val="17"/>
                <c:pt idx="0">
                  <c:v>#Fillpart</c:v>
                </c:pt>
                <c:pt idx="1">
                  <c:v/>
                </c:pt>
                <c:pt idx="2">
                  <c:v/>
                </c:pt>
                <c:pt idx="3">
                  <c:v/>
                </c:pt>
                <c:pt idx="4">
                  <c:v/>
                </c:pt>
                <c:pt idx="5">
                  <c:v/>
                </c:pt>
                <c:pt idx="6">
                  <c:v/>
                </c:pt>
                <c:pt idx="7">
                  <c:v/>
                </c:pt>
                <c:pt idx="8">
                  <c:v/>
                </c:pt>
                <c:pt idx="9">
                  <c:v/>
                </c:pt>
                <c:pt idx="10">
                  <c:v/>
                </c:pt>
                <c:pt idx="11">
                  <c:v/>
                </c:pt>
                <c:pt idx="12">
                  <c:v/>
                </c:pt>
                <c:pt idx="13">
                  <c:v/>
                </c:pt>
                <c:pt idx="14">
                  <c:v/>
                </c:pt>
                <c:pt idx="15">
                  <c:v/>
                </c:pt>
                <c:pt idx="16">
                  <c:v/>
                </c:pt>
              </c:strCache>
            </c:strRef>
          </c:cat>
          <c:val>
            <c:numRef>
              <c:f>压力损失测试!$F$6:$F$22</c:f>
              <c:numCache>
                <c:formatCode>General</c:formatCode>
                <c:ptCount val="17"/>
              </c:numCache>
            </c:numRef>
          </c:val>
        </c:ser>
        <c:dLbls>
          <c:showLegendKey val="0"/>
          <c:showVal val="0"/>
          <c:showCatName val="0"/>
          <c:showSerName val="0"/>
          <c:showPercent val="0"/>
          <c:showBubbleSize val="0"/>
        </c:dLbls>
        <c:gapWidth val="219"/>
        <c:overlap val="-27"/>
        <c:axId val="358442464"/>
        <c:axId val="358443024"/>
      </c:barChart>
      <c:catAx>
        <c:axId val="358442464"/>
        <c:scaling>
          <c:orientation val="minMax"/>
        </c:scaling>
        <c:delete val="0"/>
        <c:axPos val="b"/>
        <c:title>
          <c:tx>
            <c:rich>
              <a:bodyPr rot="0" spcFirstLastPara="1" vertOverflow="ellipsis" vert="horz" wrap="square" anchor="ctr" anchorCtr="1"/>
              <a:lstStyle/>
              <a:p>
                <a:pPr>
                  <a:defRPr lang="zh-CN" sz="1200" b="0" i="0" u="none" strike="noStrike" kern="1200" baseline="0">
                    <a:solidFill>
                      <a:schemeClr val="tx1">
                        <a:lumMod val="65000"/>
                        <a:lumOff val="35000"/>
                      </a:schemeClr>
                    </a:solidFill>
                    <a:latin typeface="+mn-lt"/>
                    <a:ea typeface="+mn-ea"/>
                    <a:cs typeface="+mn-cs"/>
                  </a:defRPr>
                </a:pPr>
                <a:r>
                  <a:rPr lang="zh-CN" altLang="en-US" sz="1200"/>
                  <a:t>填充部位</a:t>
                </a:r>
                <a:endParaRPr lang="en-US" altLang="zh-CN" sz="1200"/>
              </a:p>
              <a:p>
                <a:pPr>
                  <a:defRPr lang="zh-CN" sz="1200" b="0" i="0" u="none" strike="noStrike" kern="1200" baseline="0">
                    <a:solidFill>
                      <a:schemeClr val="tx1">
                        <a:lumMod val="65000"/>
                        <a:lumOff val="35000"/>
                      </a:schemeClr>
                    </a:solidFill>
                    <a:latin typeface="+mn-lt"/>
                    <a:ea typeface="+mn-ea"/>
                    <a:cs typeface="+mn-cs"/>
                  </a:defRPr>
                </a:pPr>
                <a:r>
                  <a:rPr lang="en-US" altLang="zh-CN" sz="1200"/>
                  <a:t>filling part</a:t>
                </a:r>
                <a:endParaRPr lang="zh-CN" altLang="en-US" sz="1200"/>
              </a:p>
            </c:rich>
          </c:tx>
          <c:layout>
            <c:manualLayout>
              <c:xMode val="edge"/>
              <c:yMode val="edge"/>
              <c:x val="0.460085680240613"/>
              <c:y val="0.856599638996383"/>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58443024"/>
        <c:crosses val="autoZero"/>
        <c:auto val="1"/>
        <c:lblAlgn val="ctr"/>
        <c:lblOffset val="100"/>
        <c:noMultiLvlLbl val="0"/>
      </c:catAx>
      <c:valAx>
        <c:axId val="358443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zh-CN" sz="1200" b="0" i="0" u="none" strike="noStrike" kern="1200" baseline="0">
                    <a:solidFill>
                      <a:schemeClr val="tx1">
                        <a:lumMod val="65000"/>
                        <a:lumOff val="35000"/>
                      </a:schemeClr>
                    </a:solidFill>
                    <a:latin typeface="+mn-lt"/>
                    <a:ea typeface="+mn-ea"/>
                    <a:cs typeface="+mn-cs"/>
                  </a:defRPr>
                </a:pPr>
                <a:r>
                  <a:rPr lang="zh-CN" altLang="en-US" sz="1200"/>
                  <a:t>压力损失</a:t>
                </a:r>
                <a:endParaRPr lang="en-US" altLang="zh-CN" sz="1200"/>
              </a:p>
              <a:p>
                <a:pPr>
                  <a:defRPr lang="zh-CN" sz="1200" b="0" i="0" u="none" strike="noStrike" kern="1200" baseline="0">
                    <a:solidFill>
                      <a:schemeClr val="tx1">
                        <a:lumMod val="65000"/>
                        <a:lumOff val="35000"/>
                      </a:schemeClr>
                    </a:solidFill>
                    <a:latin typeface="+mn-lt"/>
                    <a:ea typeface="+mn-ea"/>
                    <a:cs typeface="+mn-cs"/>
                  </a:defRPr>
                </a:pPr>
                <a:r>
                  <a:rPr lang="en-US" altLang="zh-CN" sz="1200"/>
                  <a:t>pressure loss</a:t>
                </a:r>
                <a:endParaRPr lang="zh-CN" altLang="en-US" sz="1200"/>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584424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100" b="0" i="0" u="none" strike="noStrike" kern="1200" baseline="0">
                <a:solidFill>
                  <a:srgbClr val="000000"/>
                </a:solidFill>
                <a:latin typeface="Arial" panose="020B0604020202020204"/>
                <a:ea typeface="Arial" panose="020B0604020202020204"/>
                <a:cs typeface="Arial" panose="020B0604020202020204"/>
              </a:defRPr>
            </a:pPr>
            <a:r>
              <a:rPr lang="zh-CN" altLang="zh-CN" sz="1100" b="1" i="0" u="none" strike="noStrike" baseline="0">
                <a:effectLst/>
              </a:rPr>
              <a:t>优化的保压时间</a:t>
            </a:r>
            <a:endParaRPr lang="en-US" altLang="zh-CN" sz="1100" b="1" i="0" u="none" strike="noStrike" baseline="0">
              <a:effectLst/>
            </a:endParaRPr>
          </a:p>
          <a:p>
            <a:pPr>
              <a:defRPr lang="zh-CN" sz="1100" b="0" i="0" u="none" strike="noStrike" kern="1200" baseline="0">
                <a:solidFill>
                  <a:srgbClr val="000000"/>
                </a:solidFill>
                <a:latin typeface="Arial" panose="020B0604020202020204"/>
                <a:ea typeface="Arial" panose="020B0604020202020204"/>
                <a:cs typeface="Arial" panose="020B0604020202020204"/>
              </a:defRPr>
            </a:pPr>
            <a:r>
              <a:rPr lang="en-US" altLang="zh-CN" sz="1100" b="1" i="0" strike="noStrike">
                <a:solidFill>
                  <a:srgbClr val="000000"/>
                </a:solidFill>
                <a:latin typeface="Arial" panose="020B0604020202020204"/>
                <a:cs typeface="Arial" panose="020B0604020202020204"/>
              </a:rPr>
              <a:t>Optimum Holding Time</a:t>
            </a:r>
            <a:endParaRPr lang="en-US" altLang="zh-CN" sz="1100" b="1" i="0" strike="noStrike">
              <a:solidFill>
                <a:srgbClr val="000000"/>
              </a:solidFill>
              <a:latin typeface="Arial" panose="020B0604020202020204"/>
              <a:cs typeface="Arial" panose="020B0604020202020204"/>
            </a:endParaRPr>
          </a:p>
        </c:rich>
      </c:tx>
      <c:layout>
        <c:manualLayout>
          <c:xMode val="edge"/>
          <c:yMode val="edge"/>
          <c:x val="0.380304034048146"/>
          <c:y val="0.00818438588726571"/>
        </c:manualLayout>
      </c:layout>
      <c:overlay val="0"/>
      <c:spPr>
        <a:noFill/>
        <a:ln w="25400">
          <a:noFill/>
        </a:ln>
      </c:spPr>
    </c:title>
    <c:autoTitleDeleted val="0"/>
    <c:plotArea>
      <c:layout>
        <c:manualLayout>
          <c:layoutTarget val="inner"/>
          <c:xMode val="edge"/>
          <c:yMode val="edge"/>
          <c:x val="0.115316235265393"/>
          <c:y val="0.179585507750716"/>
          <c:w val="0.82819795351668"/>
          <c:h val="0.629338641332006"/>
        </c:manualLayout>
      </c:layout>
      <c:scatterChart>
        <c:scatterStyle val="lineMarker"/>
        <c:varyColors val="0"/>
        <c:ser>
          <c:idx val="1"/>
          <c:order val="0"/>
          <c:marker>
            <c:symbol val="square"/>
            <c:size val="5"/>
            <c:spPr>
              <a:solidFill>
                <a:srgbClr val="FF00FF"/>
              </a:solidFill>
              <a:ln w="6350" cap="flat" cmpd="sng" algn="ctr">
                <a:solidFill>
                  <a:srgbClr val="FF00FF"/>
                </a:solidFill>
                <a:prstDash val="solid"/>
                <a:round/>
              </a:ln>
            </c:spPr>
          </c:marker>
          <c:dLbls>
            <c:delete val="1"/>
          </c:dLbls>
          <c:yVal>
            <c:numRef>
              <c:f>浇口冻结时间测试!$E$8:$E$17</c:f>
              <c:numCache>
                <c:formatCode>General</c:formatCode>
                <c:ptCount val="10"/>
              </c:numCache>
            </c:numRef>
          </c:yVal>
          <c:smooth val="0"/>
        </c:ser>
        <c:dLbls>
          <c:showLegendKey val="0"/>
          <c:showVal val="0"/>
          <c:showCatName val="0"/>
          <c:showSerName val="0"/>
          <c:showPercent val="0"/>
          <c:showBubbleSize val="0"/>
        </c:dLbls>
        <c:axId val="359649712"/>
        <c:axId val="359650272"/>
      </c:scatterChart>
      <c:valAx>
        <c:axId val="359649712"/>
        <c:scaling>
          <c:orientation val="minMax"/>
        </c:scaling>
        <c:delete val="0"/>
        <c:axPos val="b"/>
        <c:majorGridlines>
          <c:spPr>
            <a:ln w="3175" cap="flat" cmpd="sng" algn="ctr">
              <a:solidFill>
                <a:schemeClr val="bg1"/>
              </a:solidFill>
              <a:prstDash val="sysDash"/>
              <a:round/>
            </a:ln>
          </c:spPr>
        </c:majorGridlines>
        <c:minorGridlines>
          <c:spPr>
            <a:ln w="6350" cap="flat" cmpd="sng" algn="ctr">
              <a:solidFill>
                <a:schemeClr val="bg1"/>
              </a:solidFill>
              <a:prstDash val="solid"/>
              <a:round/>
            </a:ln>
          </c:spPr>
        </c:minorGridlines>
        <c:title>
          <c:tx>
            <c:rich>
              <a:bodyPr rot="0" spcFirstLastPara="0" vertOverflow="ellipsis" vert="horz" wrap="square" anchor="ctr" anchorCtr="1"/>
              <a:lstStyle/>
              <a:p>
                <a:pPr>
                  <a:defRPr lang="zh-CN" sz="1100" b="0" i="0" u="none" strike="noStrike" kern="1200" baseline="0">
                    <a:solidFill>
                      <a:srgbClr val="000000"/>
                    </a:solidFill>
                    <a:latin typeface="Arial" panose="020B0604020202020204" pitchFamily="7" charset="0"/>
                    <a:ea typeface="宋体" panose="02010600030101010101" pitchFamily="7" charset="-122"/>
                    <a:cs typeface="Arial" panose="020B0604020202020204" pitchFamily="7" charset="0"/>
                  </a:defRPr>
                </a:pPr>
                <a:r>
                  <a:rPr lang="zh-CN" altLang="en-US" sz="1100" b="1" i="0" strike="noStrike">
                    <a:solidFill>
                      <a:srgbClr val="000000"/>
                    </a:solidFill>
                    <a:latin typeface="Arial" panose="020B0604020202020204" pitchFamily="7" charset="0"/>
                    <a:cs typeface="Arial" panose="020B0604020202020204" pitchFamily="7" charset="0"/>
                  </a:rPr>
                  <a:t>保压时间</a:t>
                </a:r>
                <a:br>
                  <a:rPr lang="en-US" altLang="zh-CN" sz="1100" b="1" i="0" strike="noStrike">
                    <a:solidFill>
                      <a:srgbClr val="000000"/>
                    </a:solidFill>
                    <a:latin typeface="Arial" panose="020B0604020202020204" pitchFamily="7" charset="0"/>
                    <a:cs typeface="Arial" panose="020B0604020202020204" pitchFamily="7" charset="0"/>
                  </a:rPr>
                </a:br>
                <a:r>
                  <a:rPr lang="en-US" altLang="zh-CN" sz="1100" b="1" i="0" strike="noStrike">
                    <a:solidFill>
                      <a:srgbClr val="000000"/>
                    </a:solidFill>
                    <a:latin typeface="Arial" panose="020B0604020202020204" pitchFamily="7" charset="0"/>
                    <a:cs typeface="Arial" panose="020B0604020202020204" pitchFamily="7" charset="0"/>
                  </a:rPr>
                  <a:t>Holding Time(s)</a:t>
                </a:r>
                <a:endParaRPr lang="en-US" altLang="zh-CN" sz="1100" b="1" i="0" strike="noStrike">
                  <a:solidFill>
                    <a:srgbClr val="000000"/>
                  </a:solidFill>
                  <a:latin typeface="Arial" panose="020B0604020202020204" pitchFamily="7" charset="0"/>
                  <a:cs typeface="Arial" panose="020B0604020202020204" pitchFamily="7" charset="0"/>
                </a:endParaRPr>
              </a:p>
            </c:rich>
          </c:tx>
          <c:layout>
            <c:manualLayout>
              <c:xMode val="edge"/>
              <c:yMode val="edge"/>
              <c:x val="0.406951348472745"/>
              <c:y val="0.865378979854287"/>
            </c:manualLayout>
          </c:layout>
          <c:overlay val="0"/>
          <c:spPr>
            <a:noFill/>
            <a:ln w="25400">
              <a:noFill/>
            </a:ln>
          </c:spPr>
        </c:title>
        <c:numFmt formatCode="General" sourceLinked="1"/>
        <c:majorTickMark val="out"/>
        <c:minorTickMark val="in"/>
        <c:tickLblPos val="nextTo"/>
        <c:spPr>
          <a:ln w="3175" cap="flat" cmpd="sng" algn="ctr">
            <a:solidFill>
              <a:srgbClr val="000000"/>
            </a:solidFill>
            <a:prstDash val="solid"/>
            <a:round/>
          </a:ln>
        </c:spPr>
        <c:txPr>
          <a:bodyPr rot="0" spcFirstLastPara="0" vertOverflow="ellipsis" vert="horz" wrap="square" anchor="ctr" anchorCtr="1"/>
          <a:lstStyle/>
          <a:p>
            <a:pPr>
              <a:defRPr lang="zh-CN" sz="800" b="0" i="0" u="none" strike="noStrike" kern="1200" baseline="0">
                <a:solidFill>
                  <a:srgbClr val="000000"/>
                </a:solidFill>
                <a:latin typeface="Arial" panose="020B0604020202020204"/>
                <a:ea typeface="Arial" panose="020B0604020202020204"/>
                <a:cs typeface="Arial" panose="020B0604020202020204"/>
              </a:defRPr>
            </a:pPr>
          </a:p>
        </c:txPr>
        <c:crossAx val="359650272"/>
        <c:crosses val="autoZero"/>
        <c:crossBetween val="midCat"/>
      </c:valAx>
      <c:valAx>
        <c:axId val="359650272"/>
        <c:scaling>
          <c:orientation val="minMax"/>
        </c:scaling>
        <c:delete val="0"/>
        <c:axPos val="l"/>
        <c:majorGridlines>
          <c:spPr>
            <a:ln w="3175" cap="flat" cmpd="sng" algn="ctr">
              <a:solidFill>
                <a:schemeClr val="bg1">
                  <a:lumMod val="75000"/>
                </a:schemeClr>
              </a:solidFill>
              <a:prstDash val="sysDot"/>
              <a:round/>
            </a:ln>
          </c:spPr>
        </c:majorGridlines>
        <c:minorGridlines>
          <c:spPr>
            <a:ln w="6350" cap="flat" cmpd="sng" algn="ctr">
              <a:solidFill>
                <a:schemeClr val="bg1"/>
              </a:solidFill>
              <a:prstDash val="solid"/>
              <a:round/>
            </a:ln>
          </c:spPr>
        </c:minorGridlines>
        <c:title>
          <c:tx>
            <c:rich>
              <a:bodyPr rot="-5400000" spcFirstLastPara="0" vertOverflow="ellipsis" vert="horz" wrap="square" anchor="ctr" anchorCtr="1"/>
              <a:lstStyle/>
              <a:p>
                <a:pPr>
                  <a:defRPr lang="zh-CN" sz="1100" b="0" i="0" u="none" strike="noStrike" kern="1200" baseline="0">
                    <a:solidFill>
                      <a:srgbClr val="000000"/>
                    </a:solidFill>
                    <a:latin typeface="Arial" panose="020B0604020202020204" pitchFamily="7" charset="0"/>
                    <a:ea typeface="宋体" panose="02010600030101010101" pitchFamily="7" charset="-122"/>
                    <a:cs typeface="Arial" panose="020B0604020202020204" pitchFamily="7" charset="0"/>
                  </a:defRPr>
                </a:pPr>
                <a:r>
                  <a:rPr lang="zh-CN" altLang="en-US" sz="1100" b="1" i="0" strike="noStrike">
                    <a:solidFill>
                      <a:srgbClr val="000000"/>
                    </a:solidFill>
                    <a:latin typeface="Arial" panose="020B0604020202020204" pitchFamily="7" charset="0"/>
                    <a:cs typeface="Arial" panose="020B0604020202020204" pitchFamily="7" charset="0"/>
                  </a:rPr>
                  <a:t>平均重量</a:t>
                </a:r>
                <a:endParaRPr lang="en-US" altLang="zh-CN" sz="1100" b="1" i="0" strike="noStrike">
                  <a:solidFill>
                    <a:srgbClr val="000000"/>
                  </a:solidFill>
                  <a:latin typeface="Arial" panose="020B0604020202020204" pitchFamily="7" charset="0"/>
                  <a:cs typeface="Arial" panose="020B0604020202020204" pitchFamily="7" charset="0"/>
                </a:endParaRPr>
              </a:p>
              <a:p>
                <a:pPr>
                  <a:defRPr lang="zh-CN" sz="1100" b="0" i="0" u="none" strike="noStrike" kern="1200" baseline="0">
                    <a:solidFill>
                      <a:srgbClr val="000000"/>
                    </a:solidFill>
                    <a:latin typeface="Arial" panose="020B0604020202020204" pitchFamily="7" charset="0"/>
                    <a:ea typeface="宋体" panose="02010600030101010101" pitchFamily="7" charset="-122"/>
                    <a:cs typeface="Arial" panose="020B0604020202020204" pitchFamily="7" charset="0"/>
                  </a:defRPr>
                </a:pPr>
                <a:r>
                  <a:rPr lang="en-US" altLang="zh-CN" sz="1100" b="1" i="0" strike="noStrike">
                    <a:solidFill>
                      <a:srgbClr val="000000"/>
                    </a:solidFill>
                    <a:latin typeface="Arial" panose="020B0604020202020204" pitchFamily="7" charset="0"/>
                    <a:cs typeface="Arial" panose="020B0604020202020204" pitchFamily="7" charset="0"/>
                  </a:rPr>
                  <a:t>Average Weight(g)</a:t>
                </a:r>
                <a:endParaRPr lang="en-US" altLang="zh-CN" sz="1100" b="1" i="0" strike="noStrike">
                  <a:solidFill>
                    <a:srgbClr val="000000"/>
                  </a:solidFill>
                  <a:latin typeface="Arial" panose="020B0604020202020204" pitchFamily="7" charset="0"/>
                  <a:cs typeface="Arial" panose="020B0604020202020204" pitchFamily="7" charset="0"/>
                </a:endParaRPr>
              </a:p>
            </c:rich>
          </c:tx>
          <c:layout>
            <c:manualLayout>
              <c:xMode val="edge"/>
              <c:yMode val="edge"/>
              <c:x val="0.00145490763535226"/>
              <c:y val="0.284009691096305"/>
            </c:manualLayout>
          </c:layout>
          <c:overlay val="0"/>
          <c:spPr>
            <a:noFill/>
            <a:ln w="25400">
              <a:noFill/>
            </a:ln>
          </c:spPr>
        </c:title>
        <c:numFmt formatCode="0.0" sourceLinked="0"/>
        <c:majorTickMark val="out"/>
        <c:minorTickMark val="in"/>
        <c:tickLblPos val="nextTo"/>
        <c:txPr>
          <a:bodyPr rot="0" spcFirstLastPara="0" vertOverflow="ellipsis" vert="horz" wrap="square" anchor="ctr" anchorCtr="1"/>
          <a:lstStyle/>
          <a:p>
            <a:pPr>
              <a:defRPr lang="zh-CN" sz="1000" b="0" i="0" u="none" strike="noStrike" kern="1200" baseline="0">
                <a:solidFill>
                  <a:srgbClr val="000000"/>
                </a:solidFill>
                <a:latin typeface="Arial" panose="020B0604020202020204"/>
                <a:ea typeface="Arial" panose="020B0604020202020204"/>
                <a:cs typeface="Arial" panose="020B0604020202020204"/>
              </a:defRPr>
            </a:pPr>
          </a:p>
        </c:txPr>
        <c:crossAx val="359649712"/>
        <c:crosses val="autoZero"/>
        <c:crossBetween val="midCat"/>
      </c:valAx>
      <c:spPr>
        <a:solidFill>
          <a:sysClr val="window" lastClr="FFFFFF"/>
        </a:solidFill>
        <a:ln w="25400">
          <a:noFill/>
        </a:ln>
      </c:spPr>
    </c:plotArea>
    <c:plotVisOnly val="1"/>
    <c:dispBlanksAs val="gap"/>
    <c:showDLblsOverMax val="0"/>
  </c:chart>
  <c:spPr>
    <a:solidFill>
      <a:srgbClr val="FFFFFF"/>
    </a:solidFill>
    <a:ln w="3175" cap="flat" cmpd="sng" algn="ctr">
      <a:solidFill>
        <a:srgbClr val="000000"/>
      </a:solidFill>
      <a:prstDash val="solid"/>
      <a:round/>
    </a:ln>
  </c:spPr>
  <c:txPr>
    <a:bodyPr/>
    <a:lstStyle/>
    <a:p>
      <a:pPr>
        <a:defRPr lang="zh-CN" sz="1000" b="0" i="0" u="none" strike="noStrike" baseline="0">
          <a:solidFill>
            <a:srgbClr val="000000"/>
          </a:solidFill>
          <a:latin typeface="Arial" panose="020B0604020202020204"/>
          <a:ea typeface="Arial" panose="020B0604020202020204"/>
          <a:cs typeface="Arial" panose="020B0604020202020204"/>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chemeClr val="tx1"/>
                </a:solidFill>
                <a:latin typeface="+mn-lt"/>
                <a:ea typeface="+mn-ea"/>
                <a:cs typeface="+mn-cs"/>
              </a:defRPr>
            </a:pPr>
            <a:r>
              <a:rPr lang="zh-CN" altLang="en-US" sz="1200" b="1" i="0" u="none" strike="noStrike" baseline="0">
                <a:effectLst/>
              </a:rPr>
              <a:t>锁模力测试</a:t>
            </a:r>
            <a:endParaRPr lang="en-US" altLang="zh-CN" sz="1200" b="1" i="0" u="none" strike="noStrike" baseline="0">
              <a:effectLst/>
            </a:endParaRPr>
          </a:p>
          <a:p>
            <a:pPr>
              <a:defRPr lang="en-US" sz="1200" b="1" i="0" u="none" strike="noStrike" kern="1200" baseline="0">
                <a:solidFill>
                  <a:schemeClr val="tx1"/>
                </a:solidFill>
                <a:latin typeface="+mn-lt"/>
                <a:ea typeface="+mn-ea"/>
                <a:cs typeface="+mn-cs"/>
              </a:defRPr>
            </a:pPr>
            <a:r>
              <a:rPr lang="en-US" altLang="zh-CN" sz="1200" b="1" i="0" u="none" strike="noStrike" baseline="0">
                <a:effectLst/>
              </a:rPr>
              <a:t>Clamping Force Test</a:t>
            </a:r>
            <a:endParaRPr lang="zh-CN" sz="1200"/>
          </a:p>
        </c:rich>
      </c:tx>
      <c:layout>
        <c:manualLayout>
          <c:xMode val="edge"/>
          <c:yMode val="edge"/>
          <c:x val="0.435174381785899"/>
          <c:y val="0.00610440361621464"/>
        </c:manualLayout>
      </c:layout>
      <c:overlay val="0"/>
      <c:spPr>
        <a:noFill/>
        <a:ln w="25400">
          <a:noFill/>
        </a:ln>
      </c:spPr>
    </c:title>
    <c:autoTitleDeleted val="0"/>
    <c:plotArea>
      <c:layout>
        <c:manualLayout>
          <c:layoutTarget val="inner"/>
          <c:xMode val="edge"/>
          <c:yMode val="edge"/>
          <c:x val="0.0972862360970343"/>
          <c:y val="0.152185476815398"/>
          <c:w val="0.879958387760562"/>
          <c:h val="0.665392825896763"/>
        </c:manualLayout>
      </c:layout>
      <c:scatterChart>
        <c:scatterStyle val="lineMarker"/>
        <c:varyColors val="0"/>
        <c:ser>
          <c:idx val="0"/>
          <c:order val="0"/>
          <c:tx>
            <c:strRef>
              <c:f>锁模力测试!$C$10</c:f>
              <c:strCache>
                <c:ptCount val="1"/>
                <c:pt idx="0">
                  <c:v>Average weight</c:v>
                </c:pt>
              </c:strCache>
            </c:strRef>
          </c:tx>
          <c:dLbls>
            <c:delete val="1"/>
          </c:dLbls>
          <c:xVal>
            <c:numRef>
              <c:f>锁模力测试!$B$11:$B$20</c:f>
              <c:numCache>
                <c:formatCode>General</c:formatCode>
                <c:ptCount val="10"/>
              </c:numCache>
            </c:numRef>
          </c:xVal>
          <c:yVal>
            <c:numRef>
              <c:f>锁模力测试!$C$11:$C$20</c:f>
              <c:numCache>
                <c:formatCode>General</c:formatCode>
                <c:ptCount val="10"/>
              </c:numCache>
            </c:numRef>
          </c:yVal>
          <c:smooth val="0"/>
        </c:ser>
        <c:dLbls>
          <c:showLegendKey val="0"/>
          <c:showVal val="0"/>
          <c:showCatName val="0"/>
          <c:showSerName val="0"/>
          <c:showPercent val="0"/>
          <c:showBubbleSize val="0"/>
        </c:dLbls>
        <c:axId val="360423616"/>
        <c:axId val="360424176"/>
      </c:scatterChart>
      <c:valAx>
        <c:axId val="360423616"/>
        <c:scaling>
          <c:orientation val="minMax"/>
          <c:min val="0"/>
        </c:scaling>
        <c:delete val="0"/>
        <c:axPos val="b"/>
        <c:title>
          <c:tx>
            <c:rich>
              <a:bodyPr rot="0" spcFirstLastPara="0" vertOverflow="ellipsis" vert="horz" wrap="square" anchor="ctr" anchorCtr="1"/>
              <a:lstStyle/>
              <a:p>
                <a:pPr>
                  <a:defRPr lang="en-US" sz="1100" b="1" i="0" u="none" strike="noStrike" kern="1200" baseline="0">
                    <a:solidFill>
                      <a:schemeClr val="tx1"/>
                    </a:solidFill>
                    <a:latin typeface="Arial" panose="020B0604020202020204" pitchFamily="7" charset="0"/>
                    <a:ea typeface="+mn-ea"/>
                    <a:cs typeface="Arial" panose="020B0604020202020204" pitchFamily="7" charset="0"/>
                  </a:defRPr>
                </a:pPr>
                <a:r>
                  <a:rPr lang="zh-CN" altLang="en-US" sz="1100">
                    <a:latin typeface="Arial" panose="020B0604020202020204" pitchFamily="7" charset="0"/>
                    <a:cs typeface="Arial" panose="020B0604020202020204" pitchFamily="7" charset="0"/>
                  </a:rPr>
                  <a:t>锁模力</a:t>
                </a:r>
                <a:endParaRPr lang="en-US" sz="1100">
                  <a:latin typeface="Arial" panose="020B0604020202020204" pitchFamily="7" charset="0"/>
                  <a:cs typeface="Arial" panose="020B0604020202020204" pitchFamily="7" charset="0"/>
                </a:endParaRPr>
              </a:p>
              <a:p>
                <a:pPr>
                  <a:defRPr lang="en-US" sz="1100" b="1" i="0" u="none" strike="noStrike" kern="1200" baseline="0">
                    <a:solidFill>
                      <a:schemeClr val="tx1"/>
                    </a:solidFill>
                    <a:latin typeface="Arial" panose="020B0604020202020204" pitchFamily="7" charset="0"/>
                    <a:ea typeface="+mn-ea"/>
                    <a:cs typeface="Arial" panose="020B0604020202020204" pitchFamily="7" charset="0"/>
                  </a:defRPr>
                </a:pPr>
                <a:r>
                  <a:rPr lang="en-US" sz="1100">
                    <a:latin typeface="Arial" panose="020B0604020202020204" pitchFamily="7" charset="0"/>
                    <a:cs typeface="Arial" panose="020B0604020202020204" pitchFamily="7" charset="0"/>
                  </a:rPr>
                  <a:t>Clamp</a:t>
                </a:r>
                <a:r>
                  <a:rPr lang="en-US" altLang="zh-CN" sz="1100">
                    <a:latin typeface="Arial" panose="020B0604020202020204" pitchFamily="7" charset="0"/>
                    <a:cs typeface="Arial" panose="020B0604020202020204" pitchFamily="7" charset="0"/>
                  </a:rPr>
                  <a:t>ing</a:t>
                </a:r>
                <a:r>
                  <a:rPr lang="en-US" sz="1100">
                    <a:latin typeface="Arial" panose="020B0604020202020204" pitchFamily="7" charset="0"/>
                    <a:cs typeface="Arial" panose="020B0604020202020204" pitchFamily="7" charset="0"/>
                  </a:rPr>
                  <a:t> Force</a:t>
                </a:r>
                <a:endParaRPr lang="zh-CN" sz="1100">
                  <a:latin typeface="Arial" panose="020B0604020202020204" pitchFamily="7" charset="0"/>
                  <a:cs typeface="Arial" panose="020B0604020202020204" pitchFamily="7" charset="0"/>
                </a:endParaRPr>
              </a:p>
            </c:rich>
          </c:tx>
          <c:layout>
            <c:manualLayout>
              <c:xMode val="edge"/>
              <c:yMode val="edge"/>
              <c:x val="0.460106294052693"/>
              <c:y val="0.931591687981677"/>
            </c:manualLayout>
          </c:layout>
          <c:overlay val="0"/>
          <c:spPr>
            <a:noFill/>
            <a:ln w="25400">
              <a:noFill/>
            </a:ln>
          </c:spPr>
        </c:title>
        <c:numFmt formatCode="General" sourceLinked="1"/>
        <c:majorTickMark val="out"/>
        <c:minorTickMark val="none"/>
        <c:tickLblPos val="nextTo"/>
        <c:spPr>
          <a:ln w="9525" cap="flat" cmpd="sng" algn="ctr">
            <a:solidFill>
              <a:sysClr val="windowText" lastClr="000000"/>
            </a:solid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crossAx val="360424176"/>
        <c:crosses val="autoZero"/>
        <c:crossBetween val="midCat"/>
      </c:valAx>
      <c:valAx>
        <c:axId val="360424176"/>
        <c:scaling>
          <c:orientation val="minMax"/>
        </c:scaling>
        <c:delete val="0"/>
        <c:axPos val="l"/>
        <c:majorGridlines/>
        <c:minorGridlines>
          <c:spPr>
            <a:ln w="9525" cap="flat" cmpd="sng" algn="ctr">
              <a:solidFill>
                <a:schemeClr val="bg1"/>
              </a:solidFill>
              <a:prstDash val="solid"/>
              <a:round/>
            </a:ln>
          </c:spPr>
        </c:minorGridlines>
        <c:title>
          <c:tx>
            <c:rich>
              <a:bodyPr rot="-5400000" spcFirstLastPara="0" vertOverflow="ellipsis" vert="horz" wrap="square" anchor="ctr" anchorCtr="1"/>
              <a:lstStyle/>
              <a:p>
                <a:pPr>
                  <a:defRPr lang="en-US" sz="1100" b="1" i="0" u="none" strike="noStrike" kern="1200" baseline="0">
                    <a:solidFill>
                      <a:schemeClr val="tx1"/>
                    </a:solidFill>
                    <a:latin typeface="Arial" panose="020B0604020202020204" pitchFamily="7" charset="0"/>
                    <a:ea typeface="+mn-ea"/>
                    <a:cs typeface="Arial" panose="020B0604020202020204" pitchFamily="7" charset="0"/>
                  </a:defRPr>
                </a:pPr>
                <a:r>
                  <a:rPr lang="zh-CN" altLang="en-US" sz="1100">
                    <a:latin typeface="Arial" panose="020B0604020202020204" pitchFamily="7" charset="0"/>
                    <a:cs typeface="Arial" panose="020B0604020202020204" pitchFamily="7" charset="0"/>
                  </a:rPr>
                  <a:t>平均重量</a:t>
                </a:r>
                <a:endParaRPr lang="en-US" sz="1100">
                  <a:latin typeface="Arial" panose="020B0604020202020204" pitchFamily="7" charset="0"/>
                  <a:cs typeface="Arial" panose="020B0604020202020204" pitchFamily="7" charset="0"/>
                </a:endParaRPr>
              </a:p>
              <a:p>
                <a:pPr>
                  <a:defRPr lang="en-US" sz="1100" b="1" i="0" u="none" strike="noStrike" kern="1200" baseline="0">
                    <a:solidFill>
                      <a:schemeClr val="tx1"/>
                    </a:solidFill>
                    <a:latin typeface="Arial" panose="020B0604020202020204" pitchFamily="7" charset="0"/>
                    <a:ea typeface="+mn-ea"/>
                    <a:cs typeface="Arial" panose="020B0604020202020204" pitchFamily="7" charset="0"/>
                  </a:defRPr>
                </a:pPr>
                <a:r>
                  <a:rPr lang="en-US" altLang="zh-CN" sz="1100">
                    <a:latin typeface="Arial" panose="020B0604020202020204" pitchFamily="7" charset="0"/>
                    <a:cs typeface="Arial" panose="020B0604020202020204" pitchFamily="7" charset="0"/>
                  </a:rPr>
                  <a:t>Ave</a:t>
                </a:r>
                <a:r>
                  <a:rPr lang="en-US" sz="1100">
                    <a:latin typeface="Arial" panose="020B0604020202020204" pitchFamily="7" charset="0"/>
                    <a:cs typeface="Arial" panose="020B0604020202020204" pitchFamily="7" charset="0"/>
                  </a:rPr>
                  <a:t> Weight (g)</a:t>
                </a:r>
                <a:endParaRPr lang="en-US" sz="1100">
                  <a:latin typeface="Arial" panose="020B0604020202020204" pitchFamily="7" charset="0"/>
                  <a:cs typeface="Arial" panose="020B0604020202020204" pitchFamily="7" charset="0"/>
                </a:endParaRPr>
              </a:p>
            </c:rich>
          </c:tx>
          <c:layout>
            <c:manualLayout>
              <c:xMode val="edge"/>
              <c:yMode val="edge"/>
              <c:x val="0.00634375313514355"/>
              <c:y val="0.358120443277924"/>
            </c:manualLayout>
          </c:layout>
          <c:overlay val="0"/>
          <c:spPr>
            <a:noFill/>
            <a:ln w="25400">
              <a:noFill/>
            </a:ln>
          </c:spPr>
        </c:title>
        <c:numFmt formatCode="General" sourceLinked="1"/>
        <c:majorTickMark val="out"/>
        <c:minorTickMark val="in"/>
        <c:tickLblPos val="nextTo"/>
        <c:spPr>
          <a:ln w="9525" cap="flat" cmpd="sng" algn="ctr">
            <a:solidFill>
              <a:schemeClr val="tx1"/>
            </a:solidFill>
            <a:prstDash val="solid"/>
            <a:round/>
          </a:ln>
        </c:spPr>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360423616"/>
        <c:crossesAt val="0"/>
        <c:crossBetween val="midCat"/>
      </c:valAx>
      <c:spPr>
        <a:solidFill>
          <a:schemeClr val="bg1"/>
        </a:solidFill>
      </c:spPr>
    </c:plotArea>
    <c:plotVisOnly val="1"/>
    <c:dispBlanksAs val="gap"/>
    <c:showDLblsOverMax val="0"/>
  </c:chart>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200" b="1" i="0" u="none" strike="noStrike" kern="1200" spc="0" baseline="0">
                <a:solidFill>
                  <a:schemeClr val="tx1">
                    <a:lumMod val="65000"/>
                    <a:lumOff val="35000"/>
                  </a:schemeClr>
                </a:solidFill>
                <a:latin typeface="+mn-lt"/>
                <a:ea typeface="+mn-ea"/>
                <a:cs typeface="+mn-cs"/>
              </a:defRPr>
            </a:pPr>
            <a:r>
              <a:rPr lang="zh-CN" altLang="en-US" sz="1200" b="1"/>
              <a:t>周期时间测试</a:t>
            </a:r>
            <a:endParaRPr lang="en-US" altLang="zh-CN" sz="1200" b="1"/>
          </a:p>
          <a:p>
            <a:pPr>
              <a:defRPr lang="zh-CN" sz="1200" b="1" i="0" u="none" strike="noStrike" kern="1200" spc="0" baseline="0">
                <a:solidFill>
                  <a:schemeClr val="tx1">
                    <a:lumMod val="65000"/>
                    <a:lumOff val="35000"/>
                  </a:schemeClr>
                </a:solidFill>
                <a:latin typeface="+mn-lt"/>
                <a:ea typeface="+mn-ea"/>
                <a:cs typeface="+mn-cs"/>
              </a:defRPr>
            </a:pPr>
            <a:r>
              <a:rPr lang="en-US" altLang="zh-CN" sz="1200" b="1"/>
              <a:t>Cycle</a:t>
            </a:r>
            <a:r>
              <a:rPr lang="en-US" altLang="zh-CN" sz="1200" b="1" baseline="0"/>
              <a:t> Time Test</a:t>
            </a:r>
            <a:endParaRPr lang="zh-CN" altLang="en-US" sz="1200" b="1"/>
          </a:p>
        </c:rich>
      </c:tx>
      <c:layout/>
      <c:overlay val="0"/>
      <c:spPr>
        <a:noFill/>
        <a:ln>
          <a:noFill/>
        </a:ln>
        <a:effectLst/>
      </c:spPr>
    </c:title>
    <c:autoTitleDeleted val="0"/>
    <c:plotArea>
      <c:layout>
        <c:manualLayout>
          <c:layoutTarget val="inner"/>
          <c:xMode val="edge"/>
          <c:yMode val="edge"/>
          <c:x val="0.38205734960354"/>
          <c:y val="0.199491198482509"/>
          <c:w val="0.240907589414822"/>
          <c:h val="0.651642819195402"/>
        </c:manualLayout>
      </c:layout>
      <c:pieChart>
        <c:varyColors val="1"/>
        <c:ser>
          <c:idx val="0"/>
          <c:order val="0"/>
          <c:tx>
            <c:strRef>
              <c:f>"周期时间"</c:f>
              <c:strCache>
                <c:ptCount val="1"/>
                <c:pt idx="0">
                  <c:v>周期时间</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delete val="1"/>
          </c:dLbls>
          <c:cat>
            <c:strRef>
              <c:f>周期时间测试!$A$6:$A$12</c:f>
              <c:strCache>
                <c:ptCount val="7"/>
                <c:pt idx="0">
                  <c:v>注射时间</c:v>
                </c:pt>
                <c:pt idx="1">
                  <c:v>保压时间</c:v>
                </c:pt>
                <c:pt idx="2">
                  <c:v>冷却时间</c:v>
                </c:pt>
                <c:pt idx="3">
                  <c:v>开模时间</c:v>
                </c:pt>
                <c:pt idx="4">
                  <c:v>取产品时间</c:v>
                </c:pt>
                <c:pt idx="5">
                  <c:v>机械手取件时间</c:v>
                </c:pt>
                <c:pt idx="6">
                  <c:v>合模时间</c:v>
                </c:pt>
              </c:strCache>
            </c:strRef>
          </c:cat>
          <c:val>
            <c:numRef>
              <c:f>周期时间测试!$B$6:$B$12</c:f>
              <c:numCache>
                <c:formatCode>0.00" s"</c:formatCode>
                <c:ptCount val="7"/>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19050</xdr:colOff>
      <xdr:row>0</xdr:row>
      <xdr:rowOff>47625</xdr:rowOff>
    </xdr:from>
    <xdr:to>
      <xdr:col>17</xdr:col>
      <xdr:colOff>48587</xdr:colOff>
      <xdr:row>0</xdr:row>
      <xdr:rowOff>47625</xdr:rowOff>
    </xdr:to>
    <xdr:pic>
      <xdr:nvPicPr>
        <xdr:cNvPr id="27" name="Picture 7"/>
        <xdr:cNvPicPr>
          <a:picLocks noChangeAspect="1" noChangeArrowheads="1"/>
        </xdr:cNvPicPr>
      </xdr:nvPicPr>
      <xdr:blipFill>
        <a:blip r:embed="rId1"/>
        <a:srcRect/>
        <a:stretch>
          <a:fillRect/>
        </a:stretch>
      </xdr:blipFill>
      <xdr:spPr>
        <a:xfrm>
          <a:off x="19050" y="47625"/>
          <a:ext cx="2781935" cy="0"/>
        </a:xfrm>
        <a:prstGeom prst="rect">
          <a:avLst/>
        </a:prstGeom>
        <a:noFill/>
        <a:ln w="1">
          <a:noFill/>
          <a:miter lim="800000"/>
          <a:headEnd/>
          <a:tailEnd/>
        </a:ln>
      </xdr:spPr>
    </xdr:pic>
    <xdr:clientData/>
  </xdr:twoCellAnchor>
  <xdr:twoCellAnchor editAs="oneCell">
    <xdr:from>
      <xdr:col>21</xdr:col>
      <xdr:colOff>135059</xdr:colOff>
      <xdr:row>35</xdr:row>
      <xdr:rowOff>0</xdr:rowOff>
    </xdr:from>
    <xdr:to>
      <xdr:col>29</xdr:col>
      <xdr:colOff>0</xdr:colOff>
      <xdr:row>40</xdr:row>
      <xdr:rowOff>93052</xdr:rowOff>
    </xdr:to>
    <xdr:pic>
      <xdr:nvPicPr>
        <xdr:cNvPr id="4" name="Picture 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3535045" y="7598410"/>
          <a:ext cx="1160780" cy="1105535"/>
        </a:xfrm>
        <a:prstGeom prst="rect">
          <a:avLst/>
        </a:prstGeom>
      </xdr:spPr>
    </xdr:pic>
    <xdr:clientData/>
  </xdr:twoCellAnchor>
  <xdr:twoCellAnchor editAs="oneCell">
    <xdr:from>
      <xdr:col>40</xdr:col>
      <xdr:colOff>127000</xdr:colOff>
      <xdr:row>34</xdr:row>
      <xdr:rowOff>186978</xdr:rowOff>
    </xdr:from>
    <xdr:to>
      <xdr:col>46</xdr:col>
      <xdr:colOff>144524</xdr:colOff>
      <xdr:row>40</xdr:row>
      <xdr:rowOff>72679</xdr:rowOff>
    </xdr:to>
    <xdr:pic>
      <xdr:nvPicPr>
        <xdr:cNvPr id="5" name="Picture 3"/>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7187565" y="7582535"/>
          <a:ext cx="988695" cy="110109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19050</xdr:colOff>
      <xdr:row>0</xdr:row>
      <xdr:rowOff>47625</xdr:rowOff>
    </xdr:from>
    <xdr:to>
      <xdr:col>17</xdr:col>
      <xdr:colOff>48260</xdr:colOff>
      <xdr:row>0</xdr:row>
      <xdr:rowOff>47625</xdr:rowOff>
    </xdr:to>
    <xdr:pic>
      <xdr:nvPicPr>
        <xdr:cNvPr id="2" name="Picture 7"/>
        <xdr:cNvPicPr>
          <a:picLocks noChangeAspect="1" noChangeArrowheads="1"/>
        </xdr:cNvPicPr>
      </xdr:nvPicPr>
      <xdr:blipFill>
        <a:blip r:embed="rId1"/>
        <a:srcRect/>
        <a:stretch>
          <a:fillRect/>
        </a:stretch>
      </xdr:blipFill>
      <xdr:spPr>
        <a:xfrm>
          <a:off x="19050" y="47625"/>
          <a:ext cx="2781935" cy="0"/>
        </a:xfrm>
        <a:prstGeom prst="rect">
          <a:avLst/>
        </a:prstGeom>
        <a:noFill/>
        <a:ln w="1">
          <a:noFill/>
          <a:miter lim="800000"/>
          <a:headEnd/>
          <a:tailEnd/>
        </a:ln>
      </xdr:spPr>
    </xdr:pic>
    <xdr:clientData/>
  </xdr:twoCellAnchor>
  <xdr:twoCellAnchor editAs="oneCell">
    <xdr:from>
      <xdr:col>21</xdr:col>
      <xdr:colOff>135059</xdr:colOff>
      <xdr:row>35</xdr:row>
      <xdr:rowOff>0</xdr:rowOff>
    </xdr:from>
    <xdr:to>
      <xdr:col>29</xdr:col>
      <xdr:colOff>439</xdr:colOff>
      <xdr:row>40</xdr:row>
      <xdr:rowOff>92710</xdr:rowOff>
    </xdr:to>
    <xdr:pic>
      <xdr:nvPicPr>
        <xdr:cNvPr id="3" name="Picture 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3535045" y="7598410"/>
          <a:ext cx="1160780" cy="1105535"/>
        </a:xfrm>
        <a:prstGeom prst="rect">
          <a:avLst/>
        </a:prstGeom>
      </xdr:spPr>
    </xdr:pic>
    <xdr:clientData/>
  </xdr:twoCellAnchor>
  <xdr:twoCellAnchor editAs="oneCell">
    <xdr:from>
      <xdr:col>40</xdr:col>
      <xdr:colOff>127000</xdr:colOff>
      <xdr:row>34</xdr:row>
      <xdr:rowOff>186978</xdr:rowOff>
    </xdr:from>
    <xdr:to>
      <xdr:col>46</xdr:col>
      <xdr:colOff>144145</xdr:colOff>
      <xdr:row>40</xdr:row>
      <xdr:rowOff>72678</xdr:rowOff>
    </xdr:to>
    <xdr:pic>
      <xdr:nvPicPr>
        <xdr:cNvPr id="4" name="Picture 3"/>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6958330" y="7582535"/>
          <a:ext cx="988695" cy="110109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464004</xdr:colOff>
      <xdr:row>7</xdr:row>
      <xdr:rowOff>9526</xdr:rowOff>
    </xdr:from>
    <xdr:to>
      <xdr:col>5</xdr:col>
      <xdr:colOff>47625</xdr:colOff>
      <xdr:row>17</xdr:row>
      <xdr:rowOff>9525</xdr:rowOff>
    </xdr:to>
    <xdr:pic>
      <xdr:nvPicPr>
        <xdr:cNvPr id="2" name="图片 1"/>
        <xdr:cNvPicPr/>
      </xdr:nvPicPr>
      <xdr:blipFill>
        <a:blip r:embed="rId1"/>
        <a:stretch>
          <a:fillRect/>
        </a:stretch>
      </xdr:blipFill>
      <xdr:spPr>
        <a:xfrm>
          <a:off x="463550" y="1934845"/>
          <a:ext cx="2146300" cy="2025650"/>
        </a:xfrm>
        <a:prstGeom prst="rect">
          <a:avLst/>
        </a:prstGeom>
      </xdr:spPr>
    </xdr:pic>
    <xdr:clientData/>
  </xdr:twoCellAnchor>
  <xdr:twoCellAnchor editAs="oneCell">
    <xdr:from>
      <xdr:col>7</xdr:col>
      <xdr:colOff>21770</xdr:colOff>
      <xdr:row>6</xdr:row>
      <xdr:rowOff>186418</xdr:rowOff>
    </xdr:from>
    <xdr:to>
      <xdr:col>11</xdr:col>
      <xdr:colOff>0</xdr:colOff>
      <xdr:row>17</xdr:row>
      <xdr:rowOff>47625</xdr:rowOff>
    </xdr:to>
    <xdr:pic>
      <xdr:nvPicPr>
        <xdr:cNvPr id="3" name="图片 2"/>
        <xdr:cNvPicPr/>
      </xdr:nvPicPr>
      <xdr:blipFill>
        <a:blip r:embed="rId2"/>
        <a:stretch>
          <a:fillRect/>
        </a:stretch>
      </xdr:blipFill>
      <xdr:spPr>
        <a:xfrm>
          <a:off x="3745865" y="1908810"/>
          <a:ext cx="2073910" cy="208978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5336</xdr:colOff>
      <xdr:row>22</xdr:row>
      <xdr:rowOff>7327</xdr:rowOff>
    </xdr:from>
    <xdr:to>
      <xdr:col>14</xdr:col>
      <xdr:colOff>676603</xdr:colOff>
      <xdr:row>45</xdr:row>
      <xdr:rowOff>7327</xdr:rowOff>
    </xdr:to>
    <xdr:graphicFrame>
      <xdr:nvGraphicFramePr>
        <xdr:cNvPr id="5" name="Chart 1"/>
        <xdr:cNvGraphicFramePr/>
      </xdr:nvGraphicFramePr>
      <xdr:xfrm>
        <a:off x="5080" y="6095365"/>
        <a:ext cx="8719820" cy="465899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23</xdr:row>
      <xdr:rowOff>4633</xdr:rowOff>
    </xdr:from>
    <xdr:to>
      <xdr:col>7</xdr:col>
      <xdr:colOff>7327</xdr:colOff>
      <xdr:row>41</xdr:row>
      <xdr:rowOff>7327</xdr:rowOff>
    </xdr:to>
    <xdr:graphicFrame>
      <xdr:nvGraphicFramePr>
        <xdr:cNvPr id="3" name="Chart 3"/>
        <xdr:cNvGraphicFramePr/>
      </xdr:nvGraphicFramePr>
      <xdr:xfrm>
        <a:off x="0" y="7113905"/>
        <a:ext cx="7265035" cy="364871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18</xdr:row>
      <xdr:rowOff>9525</xdr:rowOff>
    </xdr:from>
    <xdr:to>
      <xdr:col>13</xdr:col>
      <xdr:colOff>190500</xdr:colOff>
      <xdr:row>31</xdr:row>
      <xdr:rowOff>0</xdr:rowOff>
    </xdr:to>
    <xdr:graphicFrame>
      <xdr:nvGraphicFramePr>
        <xdr:cNvPr id="3" name="Chart 4"/>
        <xdr:cNvGraphicFramePr/>
      </xdr:nvGraphicFramePr>
      <xdr:xfrm>
        <a:off x="0" y="5185410"/>
        <a:ext cx="7315200" cy="262382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20</xdr:row>
      <xdr:rowOff>190500</xdr:rowOff>
    </xdr:from>
    <xdr:to>
      <xdr:col>8</xdr:col>
      <xdr:colOff>647699</xdr:colOff>
      <xdr:row>37</xdr:row>
      <xdr:rowOff>190500</xdr:rowOff>
    </xdr:to>
    <xdr:graphicFrame>
      <xdr:nvGraphicFramePr>
        <xdr:cNvPr id="2" name="Chart 5"/>
        <xdr:cNvGraphicFramePr/>
      </xdr:nvGraphicFramePr>
      <xdr:xfrm>
        <a:off x="0" y="5771515"/>
        <a:ext cx="7228840" cy="344360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17</xdr:row>
      <xdr:rowOff>8045</xdr:rowOff>
    </xdr:from>
    <xdr:to>
      <xdr:col>7</xdr:col>
      <xdr:colOff>0</xdr:colOff>
      <xdr:row>30</xdr:row>
      <xdr:rowOff>190499</xdr:rowOff>
    </xdr:to>
    <xdr:graphicFrame>
      <xdr:nvGraphicFramePr>
        <xdr:cNvPr id="2" name="图表 1"/>
        <xdr:cNvGraphicFramePr/>
      </xdr:nvGraphicFramePr>
      <xdr:xfrm>
        <a:off x="0" y="3956050"/>
        <a:ext cx="7591425" cy="278511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comments" Target="../comments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zoomScale="85" zoomScaleNormal="85" workbookViewId="0">
      <selection activeCell="B2" sqref="B2"/>
    </sheetView>
  </sheetViews>
  <sheetFormatPr defaultColWidth="9" defaultRowHeight="14.25"/>
  <cols>
    <col min="1" max="1" width="16.75" style="1052" customWidth="1"/>
    <col min="2" max="2" width="27.875" style="1052" customWidth="1"/>
    <col min="3" max="3" width="14.75" style="1052" customWidth="1"/>
    <col min="4" max="4" width="34.75" style="1052" customWidth="1"/>
    <col min="5" max="5" width="15" style="1052" customWidth="1"/>
    <col min="6" max="6" width="20.5" style="1052" customWidth="1"/>
    <col min="7" max="7" width="10.75" style="1053" customWidth="1"/>
    <col min="8" max="8" width="7.375" style="1053" customWidth="1"/>
    <col min="9" max="9" width="5.75" style="1053" customWidth="1"/>
    <col min="10" max="16384" width="9" style="1053"/>
  </cols>
  <sheetData>
    <row r="1" ht="30" customHeight="1" spans="6:6">
      <c r="F1" s="1053"/>
    </row>
    <row r="2" s="1051" customFormat="1" ht="32.1" customHeight="1" spans="1:7">
      <c r="A2" s="1054" t="str">
        <f>IF(G2="中文",对照!B3,IF(G2="English",对照!C3,对照!B3))</f>
        <v>模号</v>
      </c>
      <c r="B2" s="1055"/>
      <c r="C2" s="1054" t="str">
        <f>IF(G2="中文",对照!B4,IF(G2="English",对照!C4,对照!B4))</f>
        <v>试模目的</v>
      </c>
      <c r="D2" s="1056"/>
      <c r="E2" s="1054" t="str">
        <f>IF(G2="中文",对照!B5,IF(G2="English",对照!C5,对照!B5))</f>
        <v>试模时间</v>
      </c>
      <c r="F2" s="1057"/>
      <c r="G2" s="1054" t="s">
        <v>0</v>
      </c>
    </row>
    <row r="3" ht="32.1" customHeight="1" spans="1:9">
      <c r="A3" s="1058"/>
      <c r="B3" s="1059"/>
      <c r="C3" s="1060"/>
      <c r="D3" s="1060"/>
      <c r="E3" s="1060"/>
      <c r="F3" s="1060"/>
      <c r="G3" s="1061"/>
      <c r="H3"/>
      <c r="I3"/>
    </row>
    <row r="4" ht="32.1" customHeight="1" spans="1:9">
      <c r="A4" s="1062"/>
      <c r="B4" s="1063" t="str">
        <f>IF(G2="中文",对照!B6,IF(G2="English",对照!C6,对照!B6))</f>
        <v>模具验证测试总结报告</v>
      </c>
      <c r="C4" s="1060"/>
      <c r="D4" s="1060"/>
      <c r="E4" s="1060"/>
      <c r="F4" s="1060"/>
      <c r="G4" s="1061"/>
      <c r="H4"/>
      <c r="I4"/>
    </row>
    <row r="5" ht="32.1" customHeight="1" spans="1:9">
      <c r="A5" s="1062"/>
      <c r="B5" s="1063" t="str">
        <f>IF(G2="中文",对照!B7,IF(G2="English",对照!C7,对照!B7))</f>
        <v>模具表现评估表</v>
      </c>
      <c r="C5" s="1060"/>
      <c r="D5" s="1060"/>
      <c r="E5" s="1060"/>
      <c r="F5" s="1060"/>
      <c r="G5" s="1061"/>
      <c r="H5"/>
      <c r="I5"/>
    </row>
    <row r="6" ht="32.1" customHeight="1" spans="1:9">
      <c r="A6" s="1062"/>
      <c r="B6" s="1063" t="str">
        <f>IF(G2="中文",对照!B13,IF(G2="English",对照!C13,对照!B13))</f>
        <v>试模参数记录</v>
      </c>
      <c r="C6" s="1060"/>
      <c r="D6" s="1060"/>
      <c r="E6" s="1060"/>
      <c r="F6" s="1060"/>
      <c r="G6" s="1061"/>
      <c r="H6"/>
      <c r="I6"/>
    </row>
    <row r="7" ht="32.1" customHeight="1" spans="1:7">
      <c r="A7" s="1058"/>
      <c r="B7" s="1063" t="str">
        <f>IF(G2="中文",对照!B25,IF(G2="English",对照!C25,对照!B25))</f>
        <v>模具问题点履历表</v>
      </c>
      <c r="C7" s="1059"/>
      <c r="D7" s="1059"/>
      <c r="E7" s="1059"/>
      <c r="F7" s="1059"/>
      <c r="G7" s="1061"/>
    </row>
    <row r="8" ht="32.1" customHeight="1" spans="1:9">
      <c r="A8" s="1062"/>
      <c r="B8" s="1063" t="str">
        <f>IF(G2="中文",对照!B15,IF(G2="English",对照!C15,对照!B15))</f>
        <v>模具运水状况报告</v>
      </c>
      <c r="C8" s="1060"/>
      <c r="D8" s="1060"/>
      <c r="E8" s="1060"/>
      <c r="F8" s="1060"/>
      <c r="G8" s="1061"/>
      <c r="H8"/>
      <c r="I8"/>
    </row>
    <row r="9" ht="32.1" customHeight="1" spans="1:9">
      <c r="A9" s="1062"/>
      <c r="B9" s="1063" t="str">
        <f>IF(G2="中文",对照!B16,IF(G2="English",对照!C16,对照!B16))</f>
        <v>模具冷却均匀性测试</v>
      </c>
      <c r="C9" s="1060"/>
      <c r="D9" s="1060"/>
      <c r="E9" s="1060"/>
      <c r="F9" s="1060"/>
      <c r="G9" s="1061"/>
      <c r="H9"/>
      <c r="I9"/>
    </row>
    <row r="10" ht="32.1" customHeight="1" spans="1:9">
      <c r="A10" s="1062"/>
      <c r="B10" s="1063" t="str">
        <f>IF(G2="中文",对照!B17,IF(G2="English",对照!C17,对照!B17))</f>
        <v>注射速度优化</v>
      </c>
      <c r="C10" s="1060"/>
      <c r="D10" s="1060"/>
      <c r="E10" s="1060"/>
      <c r="F10" s="1060"/>
      <c r="G10" s="1061"/>
      <c r="H10"/>
      <c r="I10"/>
    </row>
    <row r="11" ht="32.1" customHeight="1" spans="1:7">
      <c r="A11" s="1058"/>
      <c r="B11" s="1063" t="str">
        <f>IF(G2="中文",对照!B18,IF(G2="English",对照!C18,对照!B18))</f>
        <v>走水平衡分析</v>
      </c>
      <c r="C11" s="1059"/>
      <c r="D11" s="1059"/>
      <c r="E11" s="1059"/>
      <c r="F11" s="1059"/>
      <c r="G11" s="1061"/>
    </row>
    <row r="12" ht="32.1" customHeight="1" spans="1:7">
      <c r="A12" s="1058"/>
      <c r="B12" s="1063" t="str">
        <f>IF(G2="中文",对照!B19,IF(G2="English",对照!C19,对照!B19))</f>
        <v>压力损失报告</v>
      </c>
      <c r="C12" s="1059"/>
      <c r="D12" s="1059"/>
      <c r="E12" s="1059"/>
      <c r="F12" s="1059"/>
      <c r="G12" s="1061"/>
    </row>
    <row r="13" ht="32.1" customHeight="1" spans="1:7">
      <c r="A13" s="1058"/>
      <c r="B13" s="1063" t="str">
        <f>IF(G2="中文",对照!B20,IF(G2="English",对照!C20,对照!B20))</f>
        <v>保压压力测试报告</v>
      </c>
      <c r="C13" s="1059"/>
      <c r="D13" s="1059"/>
      <c r="E13" s="1059"/>
      <c r="F13" s="1059"/>
      <c r="G13" s="1061"/>
    </row>
    <row r="14" ht="32.1" customHeight="1" spans="1:7">
      <c r="A14" s="1058"/>
      <c r="B14" s="1063" t="str">
        <f>IF(G2="中文",对照!B21,IF(G2="English",对照!C21,对照!B21))</f>
        <v>保压时间优化</v>
      </c>
      <c r="C14" s="1059"/>
      <c r="D14" s="1059"/>
      <c r="E14" s="1059"/>
      <c r="F14" s="1059"/>
      <c r="G14" s="1061"/>
    </row>
    <row r="15" ht="32.1" customHeight="1" spans="1:7">
      <c r="A15" s="1058"/>
      <c r="B15" s="1063" t="str">
        <f>IF(G2="中文",对照!B22,IF(G2="English",对照!C22,对照!B22))</f>
        <v>冷却时间优化</v>
      </c>
      <c r="C15" s="1059"/>
      <c r="D15" s="1059"/>
      <c r="E15" s="1059"/>
      <c r="F15" s="1059"/>
      <c r="G15" s="1061"/>
    </row>
    <row r="16" ht="32.1" customHeight="1" spans="1:7">
      <c r="A16" s="1058"/>
      <c r="B16" s="1063" t="str">
        <f>IF(G2="中文",对照!B23,IF(G2="English",对照!C23,对照!B23))</f>
        <v>锁模力优化报告</v>
      </c>
      <c r="C16" s="1059"/>
      <c r="D16" s="1059"/>
      <c r="E16" s="1059"/>
      <c r="F16" s="1059"/>
      <c r="G16" s="1061"/>
    </row>
    <row r="17" ht="32.1" customHeight="1" spans="1:7">
      <c r="A17" s="1058"/>
      <c r="B17" s="1063" t="str">
        <f>IF(G2="中文",对照!B24,IF(G2="English",对照!C24,对照!B24))</f>
        <v>周期时间优化报告</v>
      </c>
      <c r="C17" s="1059"/>
      <c r="D17" s="1059"/>
      <c r="E17" s="1059"/>
      <c r="F17" s="1059"/>
      <c r="G17" s="1061"/>
    </row>
    <row r="18" ht="32.1" customHeight="1" spans="1:7">
      <c r="A18" s="1064"/>
      <c r="B18" s="1065"/>
      <c r="C18" s="1065"/>
      <c r="D18" s="1065"/>
      <c r="E18" s="1065"/>
      <c r="F18" s="1065"/>
      <c r="G18" s="1066"/>
    </row>
    <row r="19" ht="22.15" customHeight="1"/>
    <row r="20" ht="22.15" customHeight="1"/>
    <row r="21" ht="22.15" customHeight="1"/>
    <row r="22" ht="22.15" customHeight="1"/>
    <row r="23" ht="22.15" customHeight="1"/>
    <row r="24" ht="22.15" customHeight="1"/>
    <row r="25" ht="22.15" customHeight="1"/>
    <row r="26" ht="22.15" customHeight="1"/>
    <row r="27" ht="22.15" customHeight="1"/>
    <row r="28" ht="22.15" customHeight="1"/>
    <row r="29" ht="22.15" customHeight="1"/>
    <row r="30" ht="22.15" customHeight="1"/>
    <row r="31" ht="22.15" customHeight="1"/>
  </sheetData>
  <dataValidations count="1">
    <dataValidation type="list" allowBlank="1" showInputMessage="1" showErrorMessage="1" sqref="G2">
      <formula1>"中文,English"</formula1>
    </dataValidation>
  </dataValidations>
  <hyperlinks>
    <hyperlink ref="B5" location="模具表现评估!A1" display="=IF(G2=&quot;中文&quot;,对照!B7,IF(G2=&quot;English&quot;,对照!C7,对照!B7))"/>
    <hyperlink ref="B6" location="试模参数记录表!A1" display="=IF(G2=&quot;中文&quot;,对照!B13,IF(G2=&quot;English&quot;,对照!C13,对照!B13))"/>
    <hyperlink ref="B8" location="模具运水状况测试!A1" display="=IF(G2=&quot;中文&quot;,对照!B15,IF(G2=&quot;English&quot;,对照!C15,对照!B15))"/>
    <hyperlink ref="B9" location="模具冷却均匀性测试!A1" display="=IF(G2=&quot;中文&quot;,对照!B16,IF(G2=&quot;English&quot;,对照!C16,对照!B16))"/>
    <hyperlink ref="B10" location="有效粘度测试!A1" display="=IF(G2=&quot;中文&quot;,对照!B17,IF(G2=&quot;English&quot;,对照!C17,对照!B17))"/>
    <hyperlink ref="B11" location="多型腔平衡测试!A1" display="=IF(G2=&quot;中文&quot;,对照!B18,IF(G2=&quot;English&quot;,对照!C18,对照!B18))"/>
    <hyperlink ref="B12" location="压力损失测试!A1" display="=IF(G2=&quot;中文&quot;,对照!B19,IF(G2=&quot;English&quot;,对照!C19,对照!B19))"/>
    <hyperlink ref="B13" location="保压压力测试!A1" display="=IF(G2=&quot;中文&quot;,对照!B20,IF(G2=&quot;English&quot;,对照!C20,对照!B20))"/>
    <hyperlink ref="B14" location="保压时间测试!A1" display="=IF(G2=&quot;中文&quot;,对照!B21,IF(G2=&quot;English&quot;,对照!C21,对照!B21))"/>
    <hyperlink ref="B15" location="冷却时间测试!A1" display="=IF(G2=&quot;中文&quot;,对照!B22,IF(G2=&quot;English&quot;,对照!C22,对照!B22))"/>
    <hyperlink ref="B16" location="锁模力测试!A1" display="=IF(G2=&quot;中文&quot;,对照!B23,IF(G2=&quot;English&quot;,对照!C23,对照!B23))"/>
    <hyperlink ref="B17" location="周期时间测试!A1" display="=IF(G2=&quot;中文&quot;,对照!B24,IF(G2=&quot;English&quot;,对照!C24,对照!B24))"/>
    <hyperlink ref="B7" location="模具问题点履历!A1" display="=IF(G2=&quot;中文&quot;,对照!B25,IF(G2=&quot;English&quot;,对照!C25,对照!B25))"/>
    <hyperlink ref="B4" location="试模总结报告!A1" display="=IF(G2=&quot;中文&quot;,对照!B6,IF(G2=&quot;English&quot;,对照!C6,对照!B6))"/>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CB153"/>
  <sheetViews>
    <sheetView zoomScale="98" zoomScaleNormal="98" workbookViewId="0">
      <selection activeCell="B27" sqref="B27"/>
    </sheetView>
  </sheetViews>
  <sheetFormatPr defaultColWidth="9" defaultRowHeight="14.25"/>
  <cols>
    <col min="5" max="5" width="9" style="1016"/>
    <col min="24" max="24" width="15.75" customWidth="1"/>
    <col min="38" max="38" width="19.5" customWidth="1"/>
    <col min="56" max="56" width="12.75" customWidth="1"/>
    <col min="68" max="68" width="11.25" customWidth="1"/>
    <col min="69" max="69" width="18.125" customWidth="1"/>
  </cols>
  <sheetData>
    <row r="1" spans="1:69">
      <c r="A1" t="s">
        <v>1</v>
      </c>
      <c r="B1" t="s">
        <v>0</v>
      </c>
      <c r="C1" t="s">
        <v>2</v>
      </c>
      <c r="D1" t="s">
        <v>1</v>
      </c>
      <c r="E1" s="1016" t="s">
        <v>0</v>
      </c>
      <c r="F1" t="s">
        <v>2</v>
      </c>
      <c r="G1" t="s">
        <v>1</v>
      </c>
      <c r="H1" s="1016" t="s">
        <v>0</v>
      </c>
      <c r="I1" t="s">
        <v>2</v>
      </c>
      <c r="J1" t="s">
        <v>1</v>
      </c>
      <c r="K1" s="1016" t="s">
        <v>0</v>
      </c>
      <c r="L1" t="s">
        <v>2</v>
      </c>
      <c r="M1" t="s">
        <v>1</v>
      </c>
      <c r="N1" s="1016" t="s">
        <v>0</v>
      </c>
      <c r="O1" t="s">
        <v>2</v>
      </c>
      <c r="P1" t="s">
        <v>1</v>
      </c>
      <c r="Q1" t="s">
        <v>0</v>
      </c>
      <c r="R1" t="s">
        <v>2</v>
      </c>
      <c r="S1" t="s">
        <v>1</v>
      </c>
      <c r="T1" t="s">
        <v>0</v>
      </c>
      <c r="U1" t="s">
        <v>2</v>
      </c>
      <c r="V1" t="s">
        <v>1</v>
      </c>
      <c r="W1" t="s">
        <v>0</v>
      </c>
      <c r="X1" t="s">
        <v>2</v>
      </c>
      <c r="Y1" t="s">
        <v>1</v>
      </c>
      <c r="Z1" t="s">
        <v>0</v>
      </c>
      <c r="AA1" t="s">
        <v>2</v>
      </c>
      <c r="AB1" t="s">
        <v>1</v>
      </c>
      <c r="AC1" t="s">
        <v>0</v>
      </c>
      <c r="AD1" t="s">
        <v>2</v>
      </c>
      <c r="AE1" t="s">
        <v>1</v>
      </c>
      <c r="AF1" t="s">
        <v>0</v>
      </c>
      <c r="AG1" t="s">
        <v>2</v>
      </c>
      <c r="AH1" t="s">
        <v>1</v>
      </c>
      <c r="AI1" t="s">
        <v>0</v>
      </c>
      <c r="AJ1" t="s">
        <v>2</v>
      </c>
      <c r="AK1" t="s">
        <v>1</v>
      </c>
      <c r="AL1" t="s">
        <v>0</v>
      </c>
      <c r="AM1" t="s">
        <v>2</v>
      </c>
      <c r="AN1" t="s">
        <v>1</v>
      </c>
      <c r="AO1" t="s">
        <v>0</v>
      </c>
      <c r="AP1" t="s">
        <v>2</v>
      </c>
      <c r="AQ1" t="s">
        <v>1</v>
      </c>
      <c r="AR1" t="s">
        <v>0</v>
      </c>
      <c r="AS1" t="s">
        <v>2</v>
      </c>
      <c r="AT1" t="s">
        <v>1</v>
      </c>
      <c r="AU1" t="s">
        <v>0</v>
      </c>
      <c r="AV1" t="s">
        <v>2</v>
      </c>
      <c r="AW1" t="s">
        <v>1</v>
      </c>
      <c r="AX1" t="s">
        <v>0</v>
      </c>
      <c r="AY1" t="s">
        <v>2</v>
      </c>
      <c r="AZ1" t="s">
        <v>1</v>
      </c>
      <c r="BA1" t="s">
        <v>0</v>
      </c>
      <c r="BB1" t="s">
        <v>2</v>
      </c>
      <c r="BC1" t="s">
        <v>1</v>
      </c>
      <c r="BD1" t="s">
        <v>0</v>
      </c>
      <c r="BE1" t="s">
        <v>2</v>
      </c>
      <c r="BF1" t="s">
        <v>1</v>
      </c>
      <c r="BG1" t="s">
        <v>0</v>
      </c>
      <c r="BH1" t="s">
        <v>2</v>
      </c>
      <c r="BI1" t="s">
        <v>1</v>
      </c>
      <c r="BJ1" t="s">
        <v>0</v>
      </c>
      <c r="BK1" t="s">
        <v>2</v>
      </c>
      <c r="BL1" t="s">
        <v>1</v>
      </c>
      <c r="BM1" t="s">
        <v>0</v>
      </c>
      <c r="BN1" t="s">
        <v>2</v>
      </c>
      <c r="BO1" t="s">
        <v>1</v>
      </c>
      <c r="BP1" t="s">
        <v>0</v>
      </c>
      <c r="BQ1" t="s">
        <v>2</v>
      </c>
    </row>
    <row r="2" ht="86.25" spans="1:78">
      <c r="A2" t="s">
        <v>3</v>
      </c>
      <c r="B2" s="1017" t="s">
        <v>4</v>
      </c>
      <c r="C2" t="s">
        <v>3</v>
      </c>
      <c r="D2" s="1017" t="s">
        <v>5</v>
      </c>
      <c r="E2" s="1018" t="s">
        <v>5</v>
      </c>
      <c r="F2" s="1019" t="s">
        <v>6</v>
      </c>
      <c r="G2" s="1020" t="s">
        <v>7</v>
      </c>
      <c r="H2" s="1020" t="s">
        <v>7</v>
      </c>
      <c r="I2" s="1019"/>
      <c r="J2" s="1020" t="s">
        <v>8</v>
      </c>
      <c r="K2" s="1020" t="s">
        <v>8</v>
      </c>
      <c r="L2" s="1019" t="s">
        <v>9</v>
      </c>
      <c r="M2" s="1020" t="s">
        <v>10</v>
      </c>
      <c r="N2" s="1020" t="s">
        <v>10</v>
      </c>
      <c r="O2" s="1019" t="s">
        <v>11</v>
      </c>
      <c r="P2" t="s">
        <v>12</v>
      </c>
      <c r="Q2" t="s">
        <v>12</v>
      </c>
      <c r="R2" t="s">
        <v>13</v>
      </c>
      <c r="S2" t="s">
        <v>14</v>
      </c>
      <c r="T2" t="s">
        <v>14</v>
      </c>
      <c r="U2" t="s">
        <v>15</v>
      </c>
      <c r="V2" t="s">
        <v>16</v>
      </c>
      <c r="W2" t="s">
        <v>16</v>
      </c>
      <c r="X2" t="s">
        <v>17</v>
      </c>
      <c r="Y2" t="s">
        <v>18</v>
      </c>
      <c r="Z2" t="s">
        <v>19</v>
      </c>
      <c r="AA2" t="s">
        <v>20</v>
      </c>
      <c r="AB2" t="s">
        <v>21</v>
      </c>
      <c r="AC2" t="s">
        <v>19</v>
      </c>
      <c r="AD2" t="s">
        <v>20</v>
      </c>
      <c r="AE2" t="s">
        <v>22</v>
      </c>
      <c r="AF2" s="1016" t="s">
        <v>23</v>
      </c>
      <c r="AG2" s="1016" t="s">
        <v>24</v>
      </c>
      <c r="AH2" s="1016" t="s">
        <v>25</v>
      </c>
      <c r="AI2" s="1016" t="s">
        <v>25</v>
      </c>
      <c r="AJ2" s="1016" t="s">
        <v>26</v>
      </c>
      <c r="AK2" s="1016" t="s">
        <v>27</v>
      </c>
      <c r="AL2" s="1016" t="s">
        <v>28</v>
      </c>
      <c r="AM2" t="s">
        <v>29</v>
      </c>
      <c r="AN2" t="s">
        <v>30</v>
      </c>
      <c r="AO2" s="1016" t="s">
        <v>31</v>
      </c>
      <c r="AP2" t="s">
        <v>32</v>
      </c>
      <c r="AQ2" t="s">
        <v>33</v>
      </c>
      <c r="AR2" s="1016" t="s">
        <v>34</v>
      </c>
      <c r="AS2" t="s">
        <v>35</v>
      </c>
      <c r="AT2" t="s">
        <v>36</v>
      </c>
      <c r="AU2" s="1025" t="s">
        <v>37</v>
      </c>
      <c r="AV2" t="s">
        <v>38</v>
      </c>
      <c r="AW2" t="s">
        <v>39</v>
      </c>
      <c r="AX2" s="1025" t="s">
        <v>40</v>
      </c>
      <c r="AY2" t="s">
        <v>41</v>
      </c>
      <c r="AZ2" t="s">
        <v>42</v>
      </c>
      <c r="BA2" s="1025" t="s">
        <v>43</v>
      </c>
      <c r="BB2" t="s">
        <v>44</v>
      </c>
      <c r="BC2" t="s">
        <v>45</v>
      </c>
      <c r="BD2" s="1025" t="s">
        <v>46</v>
      </c>
      <c r="BE2" t="s">
        <v>47</v>
      </c>
      <c r="BF2" t="s">
        <v>48</v>
      </c>
      <c r="BG2" s="1025" t="s">
        <v>49</v>
      </c>
      <c r="BH2" t="s">
        <v>50</v>
      </c>
      <c r="BI2" t="s">
        <v>51</v>
      </c>
      <c r="BJ2" t="s">
        <v>51</v>
      </c>
      <c r="BK2" t="s">
        <v>52</v>
      </c>
      <c r="BL2" t="s">
        <v>53</v>
      </c>
      <c r="BM2" s="1025" t="s">
        <v>54</v>
      </c>
      <c r="BN2" s="1025" t="s">
        <v>55</v>
      </c>
      <c r="BO2" s="1025" t="s">
        <v>56</v>
      </c>
      <c r="BP2" s="1025" t="s">
        <v>56</v>
      </c>
      <c r="BQ2" s="1025" t="s">
        <v>57</v>
      </c>
      <c r="BR2" s="1040"/>
      <c r="BS2" s="1040"/>
      <c r="BT2" s="1040"/>
      <c r="BU2" s="1040"/>
      <c r="BV2" s="1040"/>
      <c r="BW2" s="1040"/>
      <c r="BX2" s="1040"/>
      <c r="BY2" s="1040"/>
      <c r="BZ2" s="1045"/>
    </row>
    <row r="3" ht="71.25" spans="2:69">
      <c r="B3" s="1017" t="s">
        <v>58</v>
      </c>
      <c r="C3" t="s">
        <v>59</v>
      </c>
      <c r="E3" s="1018" t="s">
        <v>60</v>
      </c>
      <c r="F3" s="1019" t="s">
        <v>61</v>
      </c>
      <c r="G3" s="1019"/>
      <c r="H3" s="1020" t="s">
        <v>62</v>
      </c>
      <c r="I3" s="1019" t="s">
        <v>63</v>
      </c>
      <c r="J3" s="1019"/>
      <c r="K3" s="1020" t="s">
        <v>64</v>
      </c>
      <c r="L3" s="1019" t="s">
        <v>65</v>
      </c>
      <c r="M3" s="1019"/>
      <c r="N3" s="1020" t="s">
        <v>66</v>
      </c>
      <c r="O3" s="1019" t="s">
        <v>67</v>
      </c>
      <c r="Q3" t="s">
        <v>68</v>
      </c>
      <c r="R3" t="s">
        <v>13</v>
      </c>
      <c r="T3" t="s">
        <v>69</v>
      </c>
      <c r="U3" t="s">
        <v>70</v>
      </c>
      <c r="W3" t="s">
        <v>71</v>
      </c>
      <c r="X3" t="s">
        <v>72</v>
      </c>
      <c r="Z3" t="s">
        <v>73</v>
      </c>
      <c r="AA3" t="s">
        <v>74</v>
      </c>
      <c r="AC3" t="s">
        <v>75</v>
      </c>
      <c r="AD3" t="s">
        <v>76</v>
      </c>
      <c r="AF3" t="s">
        <v>77</v>
      </c>
      <c r="AG3" t="s">
        <v>78</v>
      </c>
      <c r="AI3" t="s">
        <v>79</v>
      </c>
      <c r="AJ3" t="s">
        <v>80</v>
      </c>
      <c r="AL3" s="1025" t="s">
        <v>81</v>
      </c>
      <c r="AM3" t="s">
        <v>82</v>
      </c>
      <c r="AO3" t="s">
        <v>83</v>
      </c>
      <c r="AP3" t="s">
        <v>84</v>
      </c>
      <c r="AR3" s="1016" t="s">
        <v>85</v>
      </c>
      <c r="AS3" t="s">
        <v>86</v>
      </c>
      <c r="AU3" s="1025" t="s">
        <v>87</v>
      </c>
      <c r="AV3" t="s">
        <v>88</v>
      </c>
      <c r="AX3" s="1025" t="s">
        <v>89</v>
      </c>
      <c r="AY3" t="s">
        <v>90</v>
      </c>
      <c r="BA3" s="1025" t="s">
        <v>91</v>
      </c>
      <c r="BB3" s="1017" t="s">
        <v>92</v>
      </c>
      <c r="BD3" s="1025" t="s">
        <v>93</v>
      </c>
      <c r="BE3" t="s">
        <v>94</v>
      </c>
      <c r="BG3" t="s">
        <v>95</v>
      </c>
      <c r="BH3" t="s">
        <v>96</v>
      </c>
      <c r="BJ3" t="s">
        <v>97</v>
      </c>
      <c r="BK3" t="s">
        <v>98</v>
      </c>
      <c r="BM3" t="s">
        <v>99</v>
      </c>
      <c r="BN3" t="s">
        <v>100</v>
      </c>
      <c r="BP3" t="s">
        <v>101</v>
      </c>
      <c r="BQ3" t="s">
        <v>102</v>
      </c>
    </row>
    <row r="4" ht="42.75" spans="2:69">
      <c r="B4" s="1017" t="s">
        <v>103</v>
      </c>
      <c r="C4" t="s">
        <v>104</v>
      </c>
      <c r="E4" s="1018" t="s">
        <v>105</v>
      </c>
      <c r="F4" s="1019" t="s">
        <v>106</v>
      </c>
      <c r="G4" s="1019"/>
      <c r="H4" s="1020" t="s">
        <v>107</v>
      </c>
      <c r="I4" s="1019" t="s">
        <v>108</v>
      </c>
      <c r="J4" s="1019"/>
      <c r="K4" s="1020" t="s">
        <v>109</v>
      </c>
      <c r="L4" s="1019" t="s">
        <v>110</v>
      </c>
      <c r="M4" s="1019"/>
      <c r="N4" s="1020" t="s">
        <v>111</v>
      </c>
      <c r="O4" s="1019" t="s">
        <v>112</v>
      </c>
      <c r="Q4" t="s">
        <v>113</v>
      </c>
      <c r="R4" t="s">
        <v>114</v>
      </c>
      <c r="T4" t="s">
        <v>115</v>
      </c>
      <c r="U4" t="s">
        <v>116</v>
      </c>
      <c r="W4" t="s">
        <v>117</v>
      </c>
      <c r="X4" t="s">
        <v>118</v>
      </c>
      <c r="Z4" t="s">
        <v>58</v>
      </c>
      <c r="AA4" t="s">
        <v>59</v>
      </c>
      <c r="AC4" t="s">
        <v>119</v>
      </c>
      <c r="AD4" t="s">
        <v>120</v>
      </c>
      <c r="AF4" t="s">
        <v>121</v>
      </c>
      <c r="AG4" t="s">
        <v>122</v>
      </c>
      <c r="AI4" t="s">
        <v>123</v>
      </c>
      <c r="AJ4" t="s">
        <v>124</v>
      </c>
      <c r="AL4" s="1025" t="s">
        <v>125</v>
      </c>
      <c r="AM4" t="s">
        <v>126</v>
      </c>
      <c r="AO4" s="1025" t="s">
        <v>127</v>
      </c>
      <c r="AP4" t="s">
        <v>128</v>
      </c>
      <c r="AR4" s="1016" t="s">
        <v>129</v>
      </c>
      <c r="AS4" t="s">
        <v>130</v>
      </c>
      <c r="AU4" s="1025" t="s">
        <v>131</v>
      </c>
      <c r="AV4" t="s">
        <v>132</v>
      </c>
      <c r="AX4" s="1016" t="s">
        <v>133</v>
      </c>
      <c r="AY4" t="s">
        <v>134</v>
      </c>
      <c r="BA4" s="1016" t="s">
        <v>135</v>
      </c>
      <c r="BB4" s="1017" t="s">
        <v>136</v>
      </c>
      <c r="BD4" s="1016" t="s">
        <v>137</v>
      </c>
      <c r="BE4" t="s">
        <v>138</v>
      </c>
      <c r="BG4" t="s">
        <v>139</v>
      </c>
      <c r="BH4" t="s">
        <v>140</v>
      </c>
      <c r="BJ4" t="s">
        <v>141</v>
      </c>
      <c r="BK4" s="1039" t="s">
        <v>142</v>
      </c>
      <c r="BM4" t="s">
        <v>143</v>
      </c>
      <c r="BN4" t="s">
        <v>144</v>
      </c>
      <c r="BP4" t="s">
        <v>145</v>
      </c>
      <c r="BQ4" t="s">
        <v>146</v>
      </c>
    </row>
    <row r="5" ht="59.25" customHeight="1" spans="2:71">
      <c r="B5" s="1017" t="s">
        <v>147</v>
      </c>
      <c r="C5" t="s">
        <v>132</v>
      </c>
      <c r="E5" s="1018" t="s">
        <v>148</v>
      </c>
      <c r="F5" s="1019" t="s">
        <v>149</v>
      </c>
      <c r="G5" s="1019"/>
      <c r="H5" s="1020" t="s">
        <v>150</v>
      </c>
      <c r="I5" s="1019" t="s">
        <v>151</v>
      </c>
      <c r="J5" s="1019"/>
      <c r="K5" s="1020" t="s">
        <v>152</v>
      </c>
      <c r="L5" s="1019" t="s">
        <v>153</v>
      </c>
      <c r="M5" s="1019"/>
      <c r="N5" s="1020" t="s">
        <v>154</v>
      </c>
      <c r="O5" s="1019" t="s">
        <v>155</v>
      </c>
      <c r="Q5" t="s">
        <v>156</v>
      </c>
      <c r="R5" t="s">
        <v>157</v>
      </c>
      <c r="T5" t="s">
        <v>158</v>
      </c>
      <c r="U5" t="s">
        <v>159</v>
      </c>
      <c r="W5" t="s">
        <v>160</v>
      </c>
      <c r="X5" t="s">
        <v>161</v>
      </c>
      <c r="Z5" t="s">
        <v>162</v>
      </c>
      <c r="AA5" t="s">
        <v>163</v>
      </c>
      <c r="AC5" t="s">
        <v>164</v>
      </c>
      <c r="AD5" t="s">
        <v>165</v>
      </c>
      <c r="AF5" s="1025" t="s">
        <v>166</v>
      </c>
      <c r="AG5" t="s">
        <v>167</v>
      </c>
      <c r="AI5" s="1025" t="s">
        <v>168</v>
      </c>
      <c r="AJ5" t="s">
        <v>169</v>
      </c>
      <c r="AL5" s="1025" t="s">
        <v>170</v>
      </c>
      <c r="AM5" t="s">
        <v>171</v>
      </c>
      <c r="AO5" s="1025" t="s">
        <v>172</v>
      </c>
      <c r="AP5" t="s">
        <v>173</v>
      </c>
      <c r="AR5" s="1025" t="s">
        <v>174</v>
      </c>
      <c r="AS5" t="s">
        <v>175</v>
      </c>
      <c r="AU5" s="1025" t="s">
        <v>176</v>
      </c>
      <c r="AV5" t="s">
        <v>177</v>
      </c>
      <c r="AX5" s="1025" t="s">
        <v>178</v>
      </c>
      <c r="AY5" t="s">
        <v>179</v>
      </c>
      <c r="BD5" s="1025" t="s">
        <v>180</v>
      </c>
      <c r="BE5" t="s">
        <v>181</v>
      </c>
      <c r="BG5" t="s">
        <v>182</v>
      </c>
      <c r="BH5" t="s">
        <v>183</v>
      </c>
      <c r="BJ5" t="s">
        <v>184</v>
      </c>
      <c r="BK5" t="s">
        <v>185</v>
      </c>
      <c r="BM5" t="s">
        <v>186</v>
      </c>
      <c r="BN5" t="s">
        <v>187</v>
      </c>
      <c r="BP5" t="s">
        <v>188</v>
      </c>
      <c r="BQ5" t="s">
        <v>189</v>
      </c>
      <c r="BS5" s="1017"/>
    </row>
    <row r="6" ht="57" spans="2:69">
      <c r="B6" s="1017" t="s">
        <v>5</v>
      </c>
      <c r="C6" t="s">
        <v>190</v>
      </c>
      <c r="E6" s="1018" t="s">
        <v>191</v>
      </c>
      <c r="F6" s="1019" t="s">
        <v>192</v>
      </c>
      <c r="G6" s="1019"/>
      <c r="H6" s="1021" t="s">
        <v>193</v>
      </c>
      <c r="I6" s="1019"/>
      <c r="J6" s="1019"/>
      <c r="K6" s="1019" t="s">
        <v>194</v>
      </c>
      <c r="L6" s="1019" t="s">
        <v>195</v>
      </c>
      <c r="M6" s="1019"/>
      <c r="N6" s="1020" t="s">
        <v>196</v>
      </c>
      <c r="O6" s="1019" t="s">
        <v>197</v>
      </c>
      <c r="Q6" t="s">
        <v>198</v>
      </c>
      <c r="R6" t="s">
        <v>199</v>
      </c>
      <c r="T6" t="s">
        <v>200</v>
      </c>
      <c r="U6" t="s">
        <v>201</v>
      </c>
      <c r="W6" t="s">
        <v>202</v>
      </c>
      <c r="X6" t="s">
        <v>203</v>
      </c>
      <c r="Z6" t="s">
        <v>204</v>
      </c>
      <c r="AA6" t="s">
        <v>67</v>
      </c>
      <c r="AC6" t="s">
        <v>205</v>
      </c>
      <c r="AD6" t="s">
        <v>206</v>
      </c>
      <c r="AF6" s="1025" t="s">
        <v>207</v>
      </c>
      <c r="AG6" t="s">
        <v>208</v>
      </c>
      <c r="AI6" t="s">
        <v>209</v>
      </c>
      <c r="AJ6" t="s">
        <v>210</v>
      </c>
      <c r="AL6" s="1025" t="s">
        <v>211</v>
      </c>
      <c r="AM6" t="s">
        <v>212</v>
      </c>
      <c r="AO6" s="1025" t="s">
        <v>213</v>
      </c>
      <c r="AP6" t="s">
        <v>214</v>
      </c>
      <c r="AR6" s="1037" t="s">
        <v>215</v>
      </c>
      <c r="AU6" s="1025" t="s">
        <v>216</v>
      </c>
      <c r="AV6" t="s">
        <v>217</v>
      </c>
      <c r="AX6" s="1025" t="s">
        <v>218</v>
      </c>
      <c r="AY6" t="s">
        <v>219</v>
      </c>
      <c r="BD6" s="1025" t="s">
        <v>220</v>
      </c>
      <c r="BE6" t="s">
        <v>221</v>
      </c>
      <c r="BG6" t="s">
        <v>222</v>
      </c>
      <c r="BJ6" t="s">
        <v>223</v>
      </c>
      <c r="BK6" t="s">
        <v>224</v>
      </c>
      <c r="BM6" t="s">
        <v>225</v>
      </c>
      <c r="BN6" t="s">
        <v>226</v>
      </c>
      <c r="BP6" t="s">
        <v>227</v>
      </c>
      <c r="BQ6" t="s">
        <v>228</v>
      </c>
    </row>
    <row r="7" ht="57" spans="2:69">
      <c r="B7" s="1017" t="s">
        <v>7</v>
      </c>
      <c r="C7" t="s">
        <v>57</v>
      </c>
      <c r="E7" s="1016" t="s">
        <v>229</v>
      </c>
      <c r="F7" s="1019" t="s">
        <v>230</v>
      </c>
      <c r="G7" s="1019"/>
      <c r="H7" s="1020" t="s">
        <v>231</v>
      </c>
      <c r="I7" s="1019"/>
      <c r="J7" s="1019"/>
      <c r="K7" s="1030" t="s">
        <v>232</v>
      </c>
      <c r="L7" s="1019" t="s">
        <v>233</v>
      </c>
      <c r="M7" s="1019"/>
      <c r="N7" s="1020" t="s">
        <v>234</v>
      </c>
      <c r="O7" s="1019" t="s">
        <v>235</v>
      </c>
      <c r="Q7" t="s">
        <v>236</v>
      </c>
      <c r="R7" t="s">
        <v>237</v>
      </c>
      <c r="T7" t="s">
        <v>238</v>
      </c>
      <c r="U7" t="s">
        <v>239</v>
      </c>
      <c r="W7" t="s">
        <v>240</v>
      </c>
      <c r="X7" t="s">
        <v>241</v>
      </c>
      <c r="Z7" t="s">
        <v>242</v>
      </c>
      <c r="AA7" t="s">
        <v>243</v>
      </c>
      <c r="AC7" t="s">
        <v>244</v>
      </c>
      <c r="AD7" t="s">
        <v>245</v>
      </c>
      <c r="AF7" s="1025" t="s">
        <v>246</v>
      </c>
      <c r="AG7" s="1025" t="s">
        <v>247</v>
      </c>
      <c r="AL7" s="1025" t="s">
        <v>248</v>
      </c>
      <c r="AM7" t="s">
        <v>249</v>
      </c>
      <c r="AO7" s="1025" t="s">
        <v>250</v>
      </c>
      <c r="AP7" t="s">
        <v>251</v>
      </c>
      <c r="AR7" s="1037" t="s">
        <v>252</v>
      </c>
      <c r="AU7" s="1025" t="s">
        <v>253</v>
      </c>
      <c r="AV7" t="s">
        <v>254</v>
      </c>
      <c r="AX7" s="1025" t="s">
        <v>255</v>
      </c>
      <c r="AY7" t="s">
        <v>256</v>
      </c>
      <c r="BD7" s="1025" t="s">
        <v>257</v>
      </c>
      <c r="BE7" t="s">
        <v>258</v>
      </c>
      <c r="BG7" t="s">
        <v>259</v>
      </c>
      <c r="BH7" t="s">
        <v>260</v>
      </c>
      <c r="BJ7" t="s">
        <v>261</v>
      </c>
      <c r="BK7" t="s">
        <v>262</v>
      </c>
      <c r="BM7" t="s">
        <v>263</v>
      </c>
      <c r="BN7" t="s">
        <v>264</v>
      </c>
      <c r="BP7" t="s">
        <v>265</v>
      </c>
      <c r="BQ7" t="s">
        <v>266</v>
      </c>
    </row>
    <row r="8" ht="57.75" spans="2:69">
      <c r="B8" s="1017" t="s">
        <v>8</v>
      </c>
      <c r="C8" t="s">
        <v>9</v>
      </c>
      <c r="E8" s="1018" t="s">
        <v>267</v>
      </c>
      <c r="F8" s="1022" t="s">
        <v>268</v>
      </c>
      <c r="G8" s="1022"/>
      <c r="H8" s="1023" t="s">
        <v>269</v>
      </c>
      <c r="I8" s="1022"/>
      <c r="J8" s="1022"/>
      <c r="K8" s="1030" t="s">
        <v>270</v>
      </c>
      <c r="L8" s="1022" t="s">
        <v>271</v>
      </c>
      <c r="M8" s="1022"/>
      <c r="N8" s="1020" t="s">
        <v>272</v>
      </c>
      <c r="O8" s="1022" t="s">
        <v>273</v>
      </c>
      <c r="Q8" t="s">
        <v>274</v>
      </c>
      <c r="R8" t="s">
        <v>275</v>
      </c>
      <c r="T8" t="s">
        <v>276</v>
      </c>
      <c r="U8" t="s">
        <v>277</v>
      </c>
      <c r="W8" t="s">
        <v>278</v>
      </c>
      <c r="X8" t="s">
        <v>279</v>
      </c>
      <c r="Z8" t="s">
        <v>280</v>
      </c>
      <c r="AA8" t="s">
        <v>281</v>
      </c>
      <c r="AC8" t="s">
        <v>282</v>
      </c>
      <c r="AD8" t="s">
        <v>283</v>
      </c>
      <c r="AF8" s="1025" t="s">
        <v>284</v>
      </c>
      <c r="AG8" s="1025" t="s">
        <v>285</v>
      </c>
      <c r="AL8" s="1025" t="s">
        <v>286</v>
      </c>
      <c r="AM8" t="s">
        <v>287</v>
      </c>
      <c r="AO8" s="1025" t="s">
        <v>288</v>
      </c>
      <c r="AP8" t="s">
        <v>289</v>
      </c>
      <c r="AR8" s="1037" t="s">
        <v>290</v>
      </c>
      <c r="AU8" s="1025" t="s">
        <v>174</v>
      </c>
      <c r="AV8" t="s">
        <v>175</v>
      </c>
      <c r="AX8" s="1025" t="s">
        <v>291</v>
      </c>
      <c r="AY8" t="s">
        <v>292</v>
      </c>
      <c r="BD8" s="1025" t="s">
        <v>293</v>
      </c>
      <c r="BE8" t="s">
        <v>294</v>
      </c>
      <c r="BG8" t="s">
        <v>295</v>
      </c>
      <c r="BH8" t="s">
        <v>296</v>
      </c>
      <c r="BJ8" t="s">
        <v>297</v>
      </c>
      <c r="BK8" t="s">
        <v>298</v>
      </c>
      <c r="BM8" t="s">
        <v>299</v>
      </c>
      <c r="BN8" t="s">
        <v>300</v>
      </c>
      <c r="BP8" t="s">
        <v>301</v>
      </c>
      <c r="BQ8" t="s">
        <v>302</v>
      </c>
    </row>
    <row r="9" ht="57" spans="2:69">
      <c r="B9" s="1017" t="s">
        <v>10</v>
      </c>
      <c r="C9" t="s">
        <v>11</v>
      </c>
      <c r="E9" s="1016" t="s">
        <v>303</v>
      </c>
      <c r="F9" s="1019" t="s">
        <v>304</v>
      </c>
      <c r="G9" s="1019"/>
      <c r="H9" s="1020" t="s">
        <v>305</v>
      </c>
      <c r="I9" s="1019"/>
      <c r="J9" s="1019"/>
      <c r="K9" s="1020" t="s">
        <v>306</v>
      </c>
      <c r="L9" s="1019" t="s">
        <v>307</v>
      </c>
      <c r="M9" s="1019"/>
      <c r="N9" s="1020" t="s">
        <v>308</v>
      </c>
      <c r="O9" s="1019" t="s">
        <v>309</v>
      </c>
      <c r="Q9" t="s">
        <v>310</v>
      </c>
      <c r="R9" t="s">
        <v>311</v>
      </c>
      <c r="T9" t="s">
        <v>312</v>
      </c>
      <c r="U9" s="1025" t="s">
        <v>313</v>
      </c>
      <c r="Z9" t="s">
        <v>314</v>
      </c>
      <c r="AA9" t="s">
        <v>315</v>
      </c>
      <c r="AC9" t="s">
        <v>316</v>
      </c>
      <c r="AD9" t="s">
        <v>317</v>
      </c>
      <c r="AF9" s="1025" t="s">
        <v>318</v>
      </c>
      <c r="AG9" s="1025" t="s">
        <v>319</v>
      </c>
      <c r="AL9" s="1025" t="s">
        <v>320</v>
      </c>
      <c r="AM9" t="s">
        <v>321</v>
      </c>
      <c r="AO9" s="1025" t="s">
        <v>322</v>
      </c>
      <c r="AP9" t="s">
        <v>151</v>
      </c>
      <c r="AR9" s="1037" t="s">
        <v>323</v>
      </c>
      <c r="AU9" s="1025" t="s">
        <v>324</v>
      </c>
      <c r="AV9" t="s">
        <v>325</v>
      </c>
      <c r="BD9" s="1025" t="s">
        <v>326</v>
      </c>
      <c r="BE9" t="s">
        <v>327</v>
      </c>
      <c r="BG9" t="s">
        <v>328</v>
      </c>
      <c r="BH9" t="s">
        <v>329</v>
      </c>
      <c r="BM9" t="s">
        <v>330</v>
      </c>
      <c r="BN9" t="s">
        <v>331</v>
      </c>
      <c r="BP9" t="s">
        <v>62</v>
      </c>
      <c r="BQ9" t="s">
        <v>332</v>
      </c>
    </row>
    <row r="10" ht="57" spans="2:69">
      <c r="B10" s="1017" t="s">
        <v>333</v>
      </c>
      <c r="C10" t="s">
        <v>13</v>
      </c>
      <c r="E10" s="1018" t="s">
        <v>334</v>
      </c>
      <c r="F10" s="1019" t="s">
        <v>335</v>
      </c>
      <c r="G10" s="1019"/>
      <c r="H10" s="1019" t="s">
        <v>336</v>
      </c>
      <c r="I10" s="1019"/>
      <c r="J10" s="1019"/>
      <c r="K10" s="1020" t="s">
        <v>337</v>
      </c>
      <c r="L10" s="1019" t="s">
        <v>338</v>
      </c>
      <c r="M10" s="1019"/>
      <c r="N10" s="1020" t="s">
        <v>339</v>
      </c>
      <c r="O10" s="1019" t="s">
        <v>340</v>
      </c>
      <c r="Q10" t="s">
        <v>341</v>
      </c>
      <c r="R10" t="s">
        <v>342</v>
      </c>
      <c r="T10" t="s">
        <v>343</v>
      </c>
      <c r="U10" t="s">
        <v>344</v>
      </c>
      <c r="Z10" t="s">
        <v>345</v>
      </c>
      <c r="AA10" t="s">
        <v>315</v>
      </c>
      <c r="AF10" s="1025" t="s">
        <v>346</v>
      </c>
      <c r="AG10" s="1025" t="s">
        <v>347</v>
      </c>
      <c r="AL10" s="1025" t="s">
        <v>348</v>
      </c>
      <c r="AM10" t="s">
        <v>349</v>
      </c>
      <c r="AR10" s="1037" t="s">
        <v>350</v>
      </c>
      <c r="AU10" s="1025" t="s">
        <v>351</v>
      </c>
      <c r="AV10" t="s">
        <v>352</v>
      </c>
      <c r="BD10" s="1025" t="s">
        <v>353</v>
      </c>
      <c r="BE10" t="s">
        <v>354</v>
      </c>
      <c r="BG10" t="s">
        <v>355</v>
      </c>
      <c r="BH10" t="s">
        <v>356</v>
      </c>
      <c r="BM10" t="s">
        <v>357</v>
      </c>
      <c r="BN10" t="s">
        <v>358</v>
      </c>
      <c r="BP10" t="s">
        <v>107</v>
      </c>
      <c r="BQ10" t="s">
        <v>359</v>
      </c>
    </row>
    <row r="11" ht="71.25" spans="2:69">
      <c r="B11" s="1017" t="s">
        <v>360</v>
      </c>
      <c r="C11" t="s">
        <v>15</v>
      </c>
      <c r="E11" s="1016" t="s">
        <v>361</v>
      </c>
      <c r="F11" s="1019" t="s">
        <v>362</v>
      </c>
      <c r="G11" s="1019"/>
      <c r="H11" s="1020" t="s">
        <v>363</v>
      </c>
      <c r="I11" s="1019"/>
      <c r="J11" s="1019"/>
      <c r="K11" s="1020" t="s">
        <v>364</v>
      </c>
      <c r="L11" s="1019" t="s">
        <v>365</v>
      </c>
      <c r="M11" s="1019"/>
      <c r="N11" s="1020" t="s">
        <v>366</v>
      </c>
      <c r="O11" s="1019" t="s">
        <v>367</v>
      </c>
      <c r="Q11" t="s">
        <v>368</v>
      </c>
      <c r="R11" t="s">
        <v>369</v>
      </c>
      <c r="Z11" t="s">
        <v>370</v>
      </c>
      <c r="AA11" t="s">
        <v>371</v>
      </c>
      <c r="AF11" s="1025" t="s">
        <v>372</v>
      </c>
      <c r="AG11" s="1025" t="s">
        <v>151</v>
      </c>
      <c r="AL11" s="1025" t="s">
        <v>373</v>
      </c>
      <c r="AM11" t="s">
        <v>374</v>
      </c>
      <c r="AR11" s="1037" t="s">
        <v>375</v>
      </c>
      <c r="AU11" s="1025" t="s">
        <v>376</v>
      </c>
      <c r="AV11" t="s">
        <v>377</v>
      </c>
      <c r="BG11" t="s">
        <v>378</v>
      </c>
      <c r="BH11" t="s">
        <v>379</v>
      </c>
      <c r="BM11" t="s">
        <v>328</v>
      </c>
      <c r="BN11" t="s">
        <v>329</v>
      </c>
      <c r="BP11" t="s">
        <v>150</v>
      </c>
      <c r="BQ11" t="s">
        <v>151</v>
      </c>
    </row>
    <row r="12" ht="17.25" customHeight="1" spans="2:66">
      <c r="B12" s="1017" t="s">
        <v>380</v>
      </c>
      <c r="C12" t="s">
        <v>17</v>
      </c>
      <c r="E12" s="1016" t="s">
        <v>381</v>
      </c>
      <c r="F12" s="1019" t="s">
        <v>335</v>
      </c>
      <c r="G12" s="1019"/>
      <c r="H12" s="1020" t="s">
        <v>382</v>
      </c>
      <c r="I12" s="1019"/>
      <c r="J12" s="1019"/>
      <c r="K12" s="1020" t="s">
        <v>383</v>
      </c>
      <c r="L12" s="1019" t="s">
        <v>384</v>
      </c>
      <c r="M12" s="1019"/>
      <c r="N12" s="1020" t="s">
        <v>385</v>
      </c>
      <c r="O12" s="1019" t="s">
        <v>386</v>
      </c>
      <c r="Q12" t="s">
        <v>387</v>
      </c>
      <c r="R12" t="s">
        <v>388</v>
      </c>
      <c r="Z12" t="s">
        <v>265</v>
      </c>
      <c r="AA12" t="s">
        <v>389</v>
      </c>
      <c r="AR12" s="1037" t="s">
        <v>390</v>
      </c>
      <c r="BG12" t="s">
        <v>391</v>
      </c>
      <c r="BH12" t="s">
        <v>392</v>
      </c>
      <c r="BM12" t="s">
        <v>393</v>
      </c>
      <c r="BN12" t="s">
        <v>394</v>
      </c>
    </row>
    <row r="13" ht="15.75" spans="2:69">
      <c r="B13" s="1017" t="s">
        <v>18</v>
      </c>
      <c r="C13" t="s">
        <v>395</v>
      </c>
      <c r="E13" s="1016" t="s">
        <v>396</v>
      </c>
      <c r="F13" s="1019" t="s">
        <v>397</v>
      </c>
      <c r="G13" s="1019"/>
      <c r="H13" s="1019" t="s">
        <v>398</v>
      </c>
      <c r="I13" s="1019"/>
      <c r="J13" s="1019"/>
      <c r="K13" s="1020" t="s">
        <v>399</v>
      </c>
      <c r="L13" s="1019" t="s">
        <v>400</v>
      </c>
      <c r="M13" s="1019"/>
      <c r="N13" s="1020" t="s">
        <v>401</v>
      </c>
      <c r="O13" s="1019" t="s">
        <v>402</v>
      </c>
      <c r="Q13" t="s">
        <v>403</v>
      </c>
      <c r="R13" t="s">
        <v>404</v>
      </c>
      <c r="Z13" t="s">
        <v>405</v>
      </c>
      <c r="AA13" t="s">
        <v>406</v>
      </c>
      <c r="AR13" s="1037" t="s">
        <v>407</v>
      </c>
      <c r="BG13" t="s">
        <v>408</v>
      </c>
      <c r="BH13" t="s">
        <v>409</v>
      </c>
      <c r="BM13" t="s">
        <v>410</v>
      </c>
      <c r="BN13" t="s">
        <v>411</v>
      </c>
      <c r="BP13" t="s">
        <v>231</v>
      </c>
      <c r="BQ13" t="s">
        <v>412</v>
      </c>
    </row>
    <row r="14" ht="15" spans="2:69">
      <c r="B14" s="1017" t="s">
        <v>413</v>
      </c>
      <c r="C14" t="s">
        <v>414</v>
      </c>
      <c r="E14" s="1016" t="s">
        <v>415</v>
      </c>
      <c r="F14" s="1019" t="s">
        <v>416</v>
      </c>
      <c r="G14" s="1019"/>
      <c r="H14" s="1020" t="s">
        <v>417</v>
      </c>
      <c r="I14" s="1019"/>
      <c r="J14" s="1019"/>
      <c r="K14" s="1020" t="s">
        <v>418</v>
      </c>
      <c r="L14" s="1019" t="s">
        <v>419</v>
      </c>
      <c r="M14" s="1019"/>
      <c r="N14" s="1020" t="s">
        <v>420</v>
      </c>
      <c r="O14" s="1019" t="s">
        <v>421</v>
      </c>
      <c r="Q14" t="s">
        <v>422</v>
      </c>
      <c r="R14" t="s">
        <v>423</v>
      </c>
      <c r="Z14" t="s">
        <v>424</v>
      </c>
      <c r="AA14" t="s">
        <v>425</v>
      </c>
      <c r="AR14" s="1038" t="s">
        <v>426</v>
      </c>
      <c r="AS14" t="s">
        <v>427</v>
      </c>
      <c r="BG14" t="s">
        <v>428</v>
      </c>
      <c r="BH14" t="s">
        <v>429</v>
      </c>
      <c r="BM14" t="s">
        <v>430</v>
      </c>
      <c r="BN14" t="s">
        <v>431</v>
      </c>
      <c r="BP14" t="s">
        <v>432</v>
      </c>
      <c r="BQ14" t="s">
        <v>433</v>
      </c>
    </row>
    <row r="15" ht="15" spans="2:69">
      <c r="B15" s="1017" t="s">
        <v>23</v>
      </c>
      <c r="C15" t="s">
        <v>24</v>
      </c>
      <c r="E15" s="1016" t="s">
        <v>434</v>
      </c>
      <c r="F15" s="1019" t="s">
        <v>435</v>
      </c>
      <c r="G15" s="1019"/>
      <c r="H15" s="1019" t="s">
        <v>436</v>
      </c>
      <c r="I15" s="1019"/>
      <c r="J15" s="1019"/>
      <c r="K15" s="1019" t="s">
        <v>437</v>
      </c>
      <c r="L15" s="1019" t="s">
        <v>438</v>
      </c>
      <c r="M15" s="1019"/>
      <c r="N15" s="1020" t="s">
        <v>439</v>
      </c>
      <c r="O15" s="1019" t="s">
        <v>440</v>
      </c>
      <c r="Q15" t="s">
        <v>441</v>
      </c>
      <c r="R15" t="s">
        <v>442</v>
      </c>
      <c r="Z15" t="s">
        <v>443</v>
      </c>
      <c r="AA15" t="s">
        <v>444</v>
      </c>
      <c r="AR15" t="s">
        <v>445</v>
      </c>
      <c r="AS15" t="s">
        <v>446</v>
      </c>
      <c r="BG15" t="s">
        <v>447</v>
      </c>
      <c r="BH15" t="s">
        <v>448</v>
      </c>
      <c r="BM15" t="s">
        <v>449</v>
      </c>
      <c r="BN15" t="s">
        <v>151</v>
      </c>
      <c r="BP15" t="s">
        <v>450</v>
      </c>
      <c r="BQ15" t="s">
        <v>451</v>
      </c>
    </row>
    <row r="16" ht="213.75" spans="2:80">
      <c r="B16" s="1017" t="s">
        <v>452</v>
      </c>
      <c r="C16" t="s">
        <v>26</v>
      </c>
      <c r="E16" s="1016" t="s">
        <v>453</v>
      </c>
      <c r="F16" s="1019" t="s">
        <v>454</v>
      </c>
      <c r="G16" s="1019"/>
      <c r="H16" s="1024" t="s">
        <v>455</v>
      </c>
      <c r="I16" s="1019"/>
      <c r="J16" s="1019"/>
      <c r="K16" s="1019" t="s">
        <v>456</v>
      </c>
      <c r="L16" s="1019" t="s">
        <v>457</v>
      </c>
      <c r="M16" s="1019"/>
      <c r="N16" s="1020" t="s">
        <v>458</v>
      </c>
      <c r="O16" s="1019" t="s">
        <v>459</v>
      </c>
      <c r="Q16" t="s">
        <v>460</v>
      </c>
      <c r="R16" t="s">
        <v>461</v>
      </c>
      <c r="Z16" t="s">
        <v>462</v>
      </c>
      <c r="AA16" t="s">
        <v>463</v>
      </c>
      <c r="BG16" t="s">
        <v>464</v>
      </c>
      <c r="BH16" t="s">
        <v>465</v>
      </c>
      <c r="BM16" s="1025" t="s">
        <v>466</v>
      </c>
      <c r="BP16" t="s">
        <v>305</v>
      </c>
      <c r="BQ16" t="s">
        <v>467</v>
      </c>
      <c r="CA16" s="1046"/>
      <c r="CB16" s="1046" t="s">
        <v>468</v>
      </c>
    </row>
    <row r="17" ht="15" customHeight="1" spans="2:80">
      <c r="B17" s="1017" t="s">
        <v>469</v>
      </c>
      <c r="C17" t="s">
        <v>470</v>
      </c>
      <c r="E17" s="1016" t="s">
        <v>471</v>
      </c>
      <c r="F17" s="1019" t="s">
        <v>472</v>
      </c>
      <c r="G17" s="1019"/>
      <c r="H17" s="1020" t="s">
        <v>473</v>
      </c>
      <c r="I17" s="1019"/>
      <c r="J17" s="1019"/>
      <c r="K17" s="1019" t="s">
        <v>474</v>
      </c>
      <c r="L17" s="1019" t="s">
        <v>475</v>
      </c>
      <c r="M17" s="1019"/>
      <c r="N17" s="1020" t="s">
        <v>476</v>
      </c>
      <c r="O17" s="1019" t="s">
        <v>477</v>
      </c>
      <c r="Q17" t="s">
        <v>478</v>
      </c>
      <c r="R17" t="s">
        <v>479</v>
      </c>
      <c r="Z17" t="s">
        <v>480</v>
      </c>
      <c r="AA17" t="s">
        <v>481</v>
      </c>
      <c r="BP17" t="s">
        <v>482</v>
      </c>
      <c r="BQ17" t="s">
        <v>483</v>
      </c>
      <c r="BY17" s="1046"/>
      <c r="BZ17" s="1046"/>
      <c r="CA17" s="1046"/>
      <c r="CB17" s="1046" t="s">
        <v>484</v>
      </c>
    </row>
    <row r="18" ht="15" customHeight="1" spans="2:80">
      <c r="B18" s="1017" t="s">
        <v>485</v>
      </c>
      <c r="C18" t="s">
        <v>486</v>
      </c>
      <c r="E18" s="1016" t="s">
        <v>487</v>
      </c>
      <c r="F18" s="1019" t="s">
        <v>488</v>
      </c>
      <c r="G18" s="1019"/>
      <c r="H18" s="1020" t="s">
        <v>489</v>
      </c>
      <c r="I18" s="1019"/>
      <c r="J18" s="1019"/>
      <c r="K18" s="1019" t="s">
        <v>490</v>
      </c>
      <c r="L18" s="1019" t="s">
        <v>491</v>
      </c>
      <c r="M18" s="1019"/>
      <c r="N18" s="1020" t="s">
        <v>492</v>
      </c>
      <c r="O18" s="1019" t="s">
        <v>493</v>
      </c>
      <c r="Z18" t="s">
        <v>494</v>
      </c>
      <c r="AA18" t="s">
        <v>495</v>
      </c>
      <c r="BP18" t="s">
        <v>363</v>
      </c>
      <c r="BQ18" t="s">
        <v>496</v>
      </c>
      <c r="BY18" s="1046"/>
      <c r="BZ18" s="1046"/>
      <c r="CA18" s="1046"/>
      <c r="CB18" s="1046" t="s">
        <v>497</v>
      </c>
    </row>
    <row r="19" ht="15" customHeight="1" spans="2:80">
      <c r="B19" s="1017" t="s">
        <v>33</v>
      </c>
      <c r="C19" t="s">
        <v>35</v>
      </c>
      <c r="E19" s="1016" t="s">
        <v>498</v>
      </c>
      <c r="F19" s="1019" t="s">
        <v>499</v>
      </c>
      <c r="G19" s="1019"/>
      <c r="H19" s="1020" t="s">
        <v>500</v>
      </c>
      <c r="I19" s="1019"/>
      <c r="J19" s="1019"/>
      <c r="K19" s="1019" t="s">
        <v>501</v>
      </c>
      <c r="L19" s="1019" t="s">
        <v>502</v>
      </c>
      <c r="M19" s="1019"/>
      <c r="N19" s="1020" t="s">
        <v>503</v>
      </c>
      <c r="O19" s="1019" t="s">
        <v>504</v>
      </c>
      <c r="Z19" t="s">
        <v>505</v>
      </c>
      <c r="AA19" t="s">
        <v>506</v>
      </c>
      <c r="BP19" t="s">
        <v>382</v>
      </c>
      <c r="BQ19" t="s">
        <v>507</v>
      </c>
      <c r="BY19" s="1046"/>
      <c r="BZ19" s="1046"/>
      <c r="CA19" s="1046"/>
      <c r="CB19" s="1046"/>
    </row>
    <row r="20" ht="15" customHeight="1" spans="2:80">
      <c r="B20" s="1017" t="s">
        <v>36</v>
      </c>
      <c r="C20" t="s">
        <v>38</v>
      </c>
      <c r="E20" s="1016" t="s">
        <v>508</v>
      </c>
      <c r="F20" s="1019" t="s">
        <v>509</v>
      </c>
      <c r="G20" s="1019"/>
      <c r="H20" s="1019" t="s">
        <v>510</v>
      </c>
      <c r="I20" s="1019"/>
      <c r="J20" s="1019"/>
      <c r="K20" s="1019" t="s">
        <v>511</v>
      </c>
      <c r="L20" s="1019" t="s">
        <v>512</v>
      </c>
      <c r="M20" s="1019"/>
      <c r="N20" s="1020" t="s">
        <v>513</v>
      </c>
      <c r="O20" s="1019" t="s">
        <v>514</v>
      </c>
      <c r="Z20" t="s">
        <v>515</v>
      </c>
      <c r="AA20" t="s">
        <v>327</v>
      </c>
      <c r="BP20" t="s">
        <v>516</v>
      </c>
      <c r="BQ20" t="s">
        <v>517</v>
      </c>
      <c r="BY20" s="1046"/>
      <c r="BZ20" s="1046"/>
      <c r="CA20" s="1046"/>
      <c r="CB20" s="1046" t="s">
        <v>518</v>
      </c>
    </row>
    <row r="21" ht="15" customHeight="1" spans="2:78">
      <c r="B21" s="1017" t="s">
        <v>39</v>
      </c>
      <c r="C21" t="s">
        <v>41</v>
      </c>
      <c r="E21" s="1016" t="s">
        <v>519</v>
      </c>
      <c r="F21" s="1019" t="s">
        <v>189</v>
      </c>
      <c r="G21" s="1019"/>
      <c r="H21" s="1020" t="s">
        <v>520</v>
      </c>
      <c r="I21" s="1019"/>
      <c r="J21" s="1019"/>
      <c r="K21" s="1019" t="s">
        <v>521</v>
      </c>
      <c r="L21" s="1019" t="s">
        <v>522</v>
      </c>
      <c r="M21" s="1019"/>
      <c r="N21" s="1020" t="s">
        <v>523</v>
      </c>
      <c r="O21" s="1019" t="s">
        <v>524</v>
      </c>
      <c r="Z21" t="s">
        <v>525</v>
      </c>
      <c r="AA21" t="s">
        <v>526</v>
      </c>
      <c r="BP21" t="s">
        <v>417</v>
      </c>
      <c r="BQ21" t="s">
        <v>527</v>
      </c>
      <c r="BY21" s="1046"/>
      <c r="BZ21" s="1046"/>
    </row>
    <row r="22" ht="15" customHeight="1" spans="2:78">
      <c r="B22" s="1017" t="s">
        <v>528</v>
      </c>
      <c r="C22" t="s">
        <v>44</v>
      </c>
      <c r="E22" s="1016" t="s">
        <v>508</v>
      </c>
      <c r="F22" s="1019" t="s">
        <v>509</v>
      </c>
      <c r="G22" s="1019"/>
      <c r="H22" s="1020" t="s">
        <v>529</v>
      </c>
      <c r="I22" s="1019"/>
      <c r="J22" s="1019"/>
      <c r="K22" s="1020" t="s">
        <v>530</v>
      </c>
      <c r="L22" s="1019" t="s">
        <v>531</v>
      </c>
      <c r="M22" s="1019"/>
      <c r="N22" s="1020" t="s">
        <v>532</v>
      </c>
      <c r="O22" s="1019" t="s">
        <v>533</v>
      </c>
      <c r="Z22" t="s">
        <v>534</v>
      </c>
      <c r="AA22" t="s">
        <v>535</v>
      </c>
      <c r="BP22" t="s">
        <v>536</v>
      </c>
      <c r="BQ22" t="s">
        <v>537</v>
      </c>
      <c r="BY22" s="1046"/>
      <c r="BZ22" s="1046"/>
    </row>
    <row r="23" ht="15" customHeight="1" spans="2:78">
      <c r="B23" s="1017" t="s">
        <v>45</v>
      </c>
      <c r="C23" t="s">
        <v>47</v>
      </c>
      <c r="H23" s="1020" t="s">
        <v>538</v>
      </c>
      <c r="K23" s="1019" t="s">
        <v>539</v>
      </c>
      <c r="L23" s="1019" t="s">
        <v>540</v>
      </c>
      <c r="Z23" t="s">
        <v>541</v>
      </c>
      <c r="AA23" t="s">
        <v>542</v>
      </c>
      <c r="BP23" t="s">
        <v>543</v>
      </c>
      <c r="BQ23" t="s">
        <v>544</v>
      </c>
      <c r="BY23" s="1047"/>
      <c r="BZ23" s="1047"/>
    </row>
    <row r="24" ht="15" customHeight="1" spans="2:78">
      <c r="B24" s="1017" t="s">
        <v>48</v>
      </c>
      <c r="C24" t="s">
        <v>50</v>
      </c>
      <c r="H24" s="1020" t="s">
        <v>545</v>
      </c>
      <c r="K24" s="1019" t="s">
        <v>546</v>
      </c>
      <c r="L24" s="1019" t="s">
        <v>547</v>
      </c>
      <c r="Z24" t="s">
        <v>548</v>
      </c>
      <c r="AA24" t="s">
        <v>549</v>
      </c>
      <c r="BP24" t="s">
        <v>473</v>
      </c>
      <c r="BQ24" t="s">
        <v>550</v>
      </c>
      <c r="BW24" s="1048"/>
      <c r="BX24" s="1049"/>
      <c r="BY24" s="1047"/>
      <c r="BZ24" s="1047"/>
    </row>
    <row r="25" ht="15" customHeight="1" spans="2:78">
      <c r="B25" s="1017" t="s">
        <v>51</v>
      </c>
      <c r="C25" t="s">
        <v>52</v>
      </c>
      <c r="H25" s="1020" t="s">
        <v>551</v>
      </c>
      <c r="Z25" t="s">
        <v>552</v>
      </c>
      <c r="AA25" t="s">
        <v>553</v>
      </c>
      <c r="BP25" t="s">
        <v>489</v>
      </c>
      <c r="BQ25" t="s">
        <v>554</v>
      </c>
      <c r="BW25" s="1050"/>
      <c r="BX25" s="1043"/>
      <c r="BY25" s="1046"/>
      <c r="BZ25" s="1046"/>
    </row>
    <row r="26" ht="15" customHeight="1" spans="2:78">
      <c r="B26" s="1017" t="s">
        <v>53</v>
      </c>
      <c r="C26" t="s">
        <v>55</v>
      </c>
      <c r="H26" s="1025" t="s">
        <v>555</v>
      </c>
      <c r="Z26" t="s">
        <v>556</v>
      </c>
      <c r="AA26" t="s">
        <v>557</v>
      </c>
      <c r="BP26" t="s">
        <v>500</v>
      </c>
      <c r="BQ26" t="s">
        <v>558</v>
      </c>
      <c r="BW26" s="1050"/>
      <c r="BX26" s="1043"/>
      <c r="BY26" s="1046"/>
      <c r="BZ26" s="1046"/>
    </row>
    <row r="27" ht="15" customHeight="1" spans="2:76">
      <c r="B27" s="1017"/>
      <c r="H27" s="1020" t="s">
        <v>559</v>
      </c>
      <c r="I27" s="1028"/>
      <c r="Z27" t="s">
        <v>560</v>
      </c>
      <c r="AA27" t="s">
        <v>561</v>
      </c>
      <c r="BP27" t="s">
        <v>562</v>
      </c>
      <c r="BQ27" t="s">
        <v>563</v>
      </c>
      <c r="BW27" s="1050"/>
      <c r="BX27" s="1043"/>
    </row>
    <row r="28" ht="15" customHeight="1" spans="8:76">
      <c r="H28" s="1020" t="s">
        <v>564</v>
      </c>
      <c r="I28" s="1028"/>
      <c r="Z28" t="s">
        <v>565</v>
      </c>
      <c r="AA28" t="s">
        <v>175</v>
      </c>
      <c r="BP28" t="s">
        <v>520</v>
      </c>
      <c r="BQ28" t="s">
        <v>566</v>
      </c>
      <c r="BW28" s="1050"/>
      <c r="BX28" s="1043"/>
    </row>
    <row r="29" ht="15" customHeight="1" spans="8:76">
      <c r="H29" s="1020" t="s">
        <v>567</v>
      </c>
      <c r="I29" s="1028"/>
      <c r="Z29" t="s">
        <v>568</v>
      </c>
      <c r="AA29" t="s">
        <v>569</v>
      </c>
      <c r="BP29" t="s">
        <v>529</v>
      </c>
      <c r="BQ29" t="s">
        <v>570</v>
      </c>
      <c r="BW29" s="1050"/>
      <c r="BX29" s="1043"/>
    </row>
    <row r="30" ht="15" customHeight="1" spans="8:76">
      <c r="H30" s="1020" t="s">
        <v>571</v>
      </c>
      <c r="I30" s="1028"/>
      <c r="Z30" t="s">
        <v>572</v>
      </c>
      <c r="AA30" t="s">
        <v>573</v>
      </c>
      <c r="BP30" t="s">
        <v>538</v>
      </c>
      <c r="BQ30" t="s">
        <v>574</v>
      </c>
      <c r="BW30" s="1050"/>
      <c r="BX30" s="1043"/>
    </row>
    <row r="31" ht="15" customHeight="1" spans="8:76">
      <c r="H31" s="1020" t="s">
        <v>575</v>
      </c>
      <c r="I31" s="1028"/>
      <c r="Z31" t="s">
        <v>576</v>
      </c>
      <c r="AA31" t="s">
        <v>577</v>
      </c>
      <c r="BP31" t="s">
        <v>545</v>
      </c>
      <c r="BQ31" t="s">
        <v>578</v>
      </c>
      <c r="BW31" s="1050"/>
      <c r="BX31" s="1043"/>
    </row>
    <row r="32" ht="15" customHeight="1" spans="8:76">
      <c r="H32" s="1020" t="s">
        <v>579</v>
      </c>
      <c r="I32" s="1028"/>
      <c r="U32" s="1036"/>
      <c r="Z32" t="s">
        <v>580</v>
      </c>
      <c r="AA32" t="s">
        <v>581</v>
      </c>
      <c r="BP32" t="s">
        <v>582</v>
      </c>
      <c r="BQ32" t="s">
        <v>583</v>
      </c>
      <c r="BW32" s="1050"/>
      <c r="BX32" s="1043"/>
    </row>
    <row r="33" ht="15" customHeight="1" spans="8:76">
      <c r="H33" s="1020" t="s">
        <v>584</v>
      </c>
      <c r="I33" s="1028"/>
      <c r="Z33" t="s">
        <v>585</v>
      </c>
      <c r="AA33" t="s">
        <v>586</v>
      </c>
      <c r="BP33" t="s">
        <v>551</v>
      </c>
      <c r="BQ33" t="s">
        <v>587</v>
      </c>
      <c r="BW33" s="1046"/>
      <c r="BX33" s="1046"/>
    </row>
    <row r="34" ht="15" customHeight="1" spans="8:76">
      <c r="H34" s="1021" t="s">
        <v>588</v>
      </c>
      <c r="Z34" t="s">
        <v>589</v>
      </c>
      <c r="AA34" t="s">
        <v>590</v>
      </c>
      <c r="BP34" t="s">
        <v>591</v>
      </c>
      <c r="BQ34" t="s">
        <v>592</v>
      </c>
      <c r="BW34" s="1046"/>
      <c r="BX34" s="1046"/>
    </row>
    <row r="35" ht="15" customHeight="1" spans="8:76">
      <c r="H35" s="1020" t="s">
        <v>593</v>
      </c>
      <c r="I35" s="1031"/>
      <c r="Z35" t="s">
        <v>594</v>
      </c>
      <c r="AA35" t="s">
        <v>595</v>
      </c>
      <c r="BP35" t="s">
        <v>559</v>
      </c>
      <c r="BQ35" t="s">
        <v>596</v>
      </c>
      <c r="BR35" s="1041"/>
      <c r="BW35" s="1046"/>
      <c r="BX35" s="1046"/>
    </row>
    <row r="36" ht="15" customHeight="1" spans="8:76">
      <c r="H36" s="1020" t="s">
        <v>597</v>
      </c>
      <c r="I36" s="1032"/>
      <c r="Z36" t="s">
        <v>598</v>
      </c>
      <c r="AA36" t="s">
        <v>599</v>
      </c>
      <c r="BP36" t="s">
        <v>564</v>
      </c>
      <c r="BQ36" t="s">
        <v>600</v>
      </c>
      <c r="BR36" s="1041"/>
      <c r="BW36" s="1046"/>
      <c r="BX36" s="1046"/>
    </row>
    <row r="37" ht="15" customHeight="1" spans="8:76">
      <c r="H37" s="1020" t="s">
        <v>601</v>
      </c>
      <c r="I37" s="1033"/>
      <c r="Z37" t="s">
        <v>602</v>
      </c>
      <c r="AA37" t="s">
        <v>603</v>
      </c>
      <c r="BP37" t="s">
        <v>567</v>
      </c>
      <c r="BQ37" t="s">
        <v>604</v>
      </c>
      <c r="BR37" s="1041"/>
      <c r="BW37" s="1046"/>
      <c r="BX37" s="1046"/>
    </row>
    <row r="38" ht="13.5" customHeight="1" spans="8:76">
      <c r="H38" s="1020" t="s">
        <v>605</v>
      </c>
      <c r="I38" s="1032"/>
      <c r="Z38" t="s">
        <v>606</v>
      </c>
      <c r="AA38" t="s">
        <v>607</v>
      </c>
      <c r="BP38" t="s">
        <v>571</v>
      </c>
      <c r="BQ38" t="s">
        <v>608</v>
      </c>
      <c r="BR38" s="1041"/>
      <c r="BW38" s="1046"/>
      <c r="BX38" s="1046"/>
    </row>
    <row r="39" ht="13.5" customHeight="1" spans="8:76">
      <c r="H39" s="1020" t="s">
        <v>609</v>
      </c>
      <c r="I39" s="1034"/>
      <c r="Z39" t="s">
        <v>610</v>
      </c>
      <c r="AA39" t="s">
        <v>611</v>
      </c>
      <c r="BP39" t="s">
        <v>575</v>
      </c>
      <c r="BQ39" t="s">
        <v>612</v>
      </c>
      <c r="BR39" s="1041"/>
      <c r="BW39" s="1046"/>
      <c r="BX39" s="1046"/>
    </row>
    <row r="40" ht="28.5" spans="8:70">
      <c r="H40" s="1025" t="s">
        <v>613</v>
      </c>
      <c r="Z40" t="s">
        <v>614</v>
      </c>
      <c r="AA40" t="s">
        <v>615</v>
      </c>
      <c r="BP40" t="s">
        <v>579</v>
      </c>
      <c r="BQ40" t="s">
        <v>616</v>
      </c>
      <c r="BR40" s="1041"/>
    </row>
    <row r="41" ht="15" spans="8:70">
      <c r="H41" s="1026" t="s">
        <v>617</v>
      </c>
      <c r="I41" s="1031"/>
      <c r="Z41" t="s">
        <v>618</v>
      </c>
      <c r="AA41" t="s">
        <v>619</v>
      </c>
      <c r="BP41" t="s">
        <v>584</v>
      </c>
      <c r="BQ41" t="s">
        <v>620</v>
      </c>
      <c r="BR41" s="1041"/>
    </row>
    <row r="42" ht="13.5" customHeight="1" spans="8:69">
      <c r="H42" s="1027" t="s">
        <v>621</v>
      </c>
      <c r="I42" s="1035"/>
      <c r="Z42" t="s">
        <v>622</v>
      </c>
      <c r="AA42" t="s">
        <v>623</v>
      </c>
      <c r="BP42" t="s">
        <v>624</v>
      </c>
      <c r="BQ42" s="1025" t="s">
        <v>625</v>
      </c>
    </row>
    <row r="43" ht="28.5" spans="8:70">
      <c r="H43" s="1025" t="s">
        <v>626</v>
      </c>
      <c r="Z43" t="s">
        <v>627</v>
      </c>
      <c r="AA43" t="s">
        <v>628</v>
      </c>
      <c r="BP43" t="s">
        <v>593</v>
      </c>
      <c r="BQ43" t="s">
        <v>629</v>
      </c>
      <c r="BR43" s="1041"/>
    </row>
    <row r="44" ht="15" spans="8:70">
      <c r="H44" s="1028" t="s">
        <v>630</v>
      </c>
      <c r="I44" s="1028"/>
      <c r="Z44" t="s">
        <v>631</v>
      </c>
      <c r="AA44" t="s">
        <v>632</v>
      </c>
      <c r="BP44" t="s">
        <v>597</v>
      </c>
      <c r="BQ44" t="s">
        <v>633</v>
      </c>
      <c r="BR44" s="1041"/>
    </row>
    <row r="45" ht="13.5" customHeight="1" spans="8:70">
      <c r="H45" s="1028" t="s">
        <v>634</v>
      </c>
      <c r="I45" s="1028"/>
      <c r="Z45" t="s">
        <v>635</v>
      </c>
      <c r="AA45" t="s">
        <v>636</v>
      </c>
      <c r="BP45" t="s">
        <v>601</v>
      </c>
      <c r="BQ45" t="s">
        <v>637</v>
      </c>
      <c r="BR45" s="1041"/>
    </row>
    <row r="46" ht="42.75" spans="8:70">
      <c r="H46" s="1025" t="s">
        <v>638</v>
      </c>
      <c r="Z46" t="s">
        <v>639</v>
      </c>
      <c r="AA46" t="s">
        <v>640</v>
      </c>
      <c r="BP46" t="s">
        <v>605</v>
      </c>
      <c r="BQ46" t="s">
        <v>641</v>
      </c>
      <c r="BR46" s="1041"/>
    </row>
    <row r="47" ht="27" customHeight="1" spans="8:70">
      <c r="H47" s="1025" t="s">
        <v>642</v>
      </c>
      <c r="Z47" t="s">
        <v>643</v>
      </c>
      <c r="AA47" t="s">
        <v>644</v>
      </c>
      <c r="BP47" t="s">
        <v>609</v>
      </c>
      <c r="BQ47" t="s">
        <v>645</v>
      </c>
      <c r="BR47" s="1042"/>
    </row>
    <row r="48" spans="8:69">
      <c r="H48" s="1029" t="s">
        <v>646</v>
      </c>
      <c r="Z48" t="s">
        <v>647</v>
      </c>
      <c r="AA48" t="s">
        <v>648</v>
      </c>
      <c r="BP48" t="s">
        <v>649</v>
      </c>
      <c r="BQ48" t="s">
        <v>650</v>
      </c>
    </row>
    <row r="49" ht="15" spans="8:70">
      <c r="H49" s="1029" t="s">
        <v>651</v>
      </c>
      <c r="Z49" t="s">
        <v>652</v>
      </c>
      <c r="AA49" t="s">
        <v>653</v>
      </c>
      <c r="BP49" s="1026" t="s">
        <v>617</v>
      </c>
      <c r="BQ49" t="s">
        <v>654</v>
      </c>
      <c r="BR49" s="1041"/>
    </row>
    <row r="50" ht="27" customHeight="1" spans="8:70">
      <c r="H50" s="1025" t="s">
        <v>655</v>
      </c>
      <c r="Z50" t="s">
        <v>656</v>
      </c>
      <c r="AA50" t="s">
        <v>657</v>
      </c>
      <c r="BP50" t="s">
        <v>621</v>
      </c>
      <c r="BQ50" t="s">
        <v>658</v>
      </c>
      <c r="BR50" s="1041"/>
    </row>
    <row r="51" ht="28.5" spans="8:69">
      <c r="H51" s="1025" t="s">
        <v>659</v>
      </c>
      <c r="Z51" t="s">
        <v>660</v>
      </c>
      <c r="AA51" t="s">
        <v>661</v>
      </c>
      <c r="BP51" t="s">
        <v>662</v>
      </c>
      <c r="BQ51" s="1025" t="s">
        <v>663</v>
      </c>
    </row>
    <row r="52" ht="20.25" customHeight="1" spans="8:70">
      <c r="H52" s="1025" t="s">
        <v>664</v>
      </c>
      <c r="Z52" t="s">
        <v>665</v>
      </c>
      <c r="AA52" t="s">
        <v>666</v>
      </c>
      <c r="BP52" t="s">
        <v>630</v>
      </c>
      <c r="BQ52" t="s">
        <v>667</v>
      </c>
      <c r="BR52" s="1041"/>
    </row>
    <row r="53" ht="15" spans="26:70">
      <c r="Z53" t="s">
        <v>668</v>
      </c>
      <c r="AA53" t="s">
        <v>669</v>
      </c>
      <c r="BP53" t="s">
        <v>670</v>
      </c>
      <c r="BQ53" t="s">
        <v>671</v>
      </c>
      <c r="BR53" s="1043"/>
    </row>
    <row r="54" spans="26:69">
      <c r="Z54" t="s">
        <v>672</v>
      </c>
      <c r="AA54" t="s">
        <v>673</v>
      </c>
      <c r="BP54" t="s">
        <v>674</v>
      </c>
      <c r="BQ54" s="1044" t="s">
        <v>675</v>
      </c>
    </row>
    <row r="55" spans="26:69">
      <c r="Z55" t="s">
        <v>676</v>
      </c>
      <c r="AA55" t="s">
        <v>677</v>
      </c>
      <c r="BP55" t="s">
        <v>678</v>
      </c>
      <c r="BQ55" s="1044" t="s">
        <v>679</v>
      </c>
    </row>
    <row r="56" spans="26:69">
      <c r="Z56" t="s">
        <v>680</v>
      </c>
      <c r="AA56" t="s">
        <v>681</v>
      </c>
      <c r="BP56" t="s">
        <v>682</v>
      </c>
      <c r="BQ56" s="1044" t="s">
        <v>683</v>
      </c>
    </row>
    <row r="57" spans="26:69">
      <c r="Z57" t="s">
        <v>684</v>
      </c>
      <c r="AA57" t="s">
        <v>685</v>
      </c>
      <c r="BP57" t="s">
        <v>646</v>
      </c>
      <c r="BQ57" s="1044" t="s">
        <v>686</v>
      </c>
    </row>
    <row r="58" spans="26:69">
      <c r="Z58" t="s">
        <v>687</v>
      </c>
      <c r="AA58" t="s">
        <v>688</v>
      </c>
      <c r="BP58" t="s">
        <v>651</v>
      </c>
      <c r="BQ58" s="1044" t="s">
        <v>689</v>
      </c>
    </row>
    <row r="59" spans="26:69">
      <c r="Z59" t="s">
        <v>690</v>
      </c>
      <c r="AA59" t="s">
        <v>691</v>
      </c>
      <c r="BP59" t="s">
        <v>659</v>
      </c>
      <c r="BQ59" s="1044" t="s">
        <v>692</v>
      </c>
    </row>
    <row r="60" customHeight="1" spans="26:69">
      <c r="Z60" t="s">
        <v>693</v>
      </c>
      <c r="AA60" t="s">
        <v>694</v>
      </c>
      <c r="BP60" s="1016" t="s">
        <v>664</v>
      </c>
      <c r="BQ60" s="1016" t="s">
        <v>695</v>
      </c>
    </row>
    <row r="61" spans="26:69">
      <c r="Z61" t="s">
        <v>696</v>
      </c>
      <c r="AA61" t="s">
        <v>697</v>
      </c>
      <c r="BP61" t="s">
        <v>698</v>
      </c>
      <c r="BQ61" t="s">
        <v>699</v>
      </c>
    </row>
    <row r="62" spans="26:69">
      <c r="Z62" t="s">
        <v>700</v>
      </c>
      <c r="AA62" t="s">
        <v>701</v>
      </c>
      <c r="BP62" t="s">
        <v>702</v>
      </c>
      <c r="BQ62" s="1044" t="s">
        <v>703</v>
      </c>
    </row>
    <row r="63" spans="26:69">
      <c r="Z63" t="s">
        <v>704</v>
      </c>
      <c r="AA63" t="s">
        <v>705</v>
      </c>
      <c r="BP63" t="s">
        <v>706</v>
      </c>
      <c r="BQ63" s="1044" t="s">
        <v>707</v>
      </c>
    </row>
    <row r="64" spans="26:69">
      <c r="Z64" t="s">
        <v>708</v>
      </c>
      <c r="AA64" t="s">
        <v>709</v>
      </c>
      <c r="BP64" t="s">
        <v>710</v>
      </c>
      <c r="BQ64" s="1044" t="s">
        <v>711</v>
      </c>
    </row>
    <row r="65" spans="26:69">
      <c r="Z65" t="s">
        <v>712</v>
      </c>
      <c r="AA65" t="s">
        <v>713</v>
      </c>
      <c r="BP65" t="s">
        <v>714</v>
      </c>
      <c r="BQ65" s="1044" t="s">
        <v>715</v>
      </c>
    </row>
    <row r="66" spans="26:69">
      <c r="Z66" t="s">
        <v>716</v>
      </c>
      <c r="AA66" t="s">
        <v>717</v>
      </c>
      <c r="BP66" t="s">
        <v>718</v>
      </c>
      <c r="BQ66" s="1044" t="s">
        <v>719</v>
      </c>
    </row>
    <row r="67" spans="26:69">
      <c r="Z67" t="s">
        <v>720</v>
      </c>
      <c r="AA67" t="s">
        <v>721</v>
      </c>
      <c r="BP67" t="s">
        <v>722</v>
      </c>
      <c r="BQ67" s="1044" t="s">
        <v>723</v>
      </c>
    </row>
    <row r="68" spans="26:69">
      <c r="Z68" t="s">
        <v>724</v>
      </c>
      <c r="AA68" t="s">
        <v>725</v>
      </c>
      <c r="BP68" t="s">
        <v>726</v>
      </c>
      <c r="BQ68" s="1044" t="s">
        <v>727</v>
      </c>
    </row>
    <row r="69" spans="26:69">
      <c r="Z69" t="s">
        <v>728</v>
      </c>
      <c r="AA69" t="s">
        <v>729</v>
      </c>
      <c r="BP69" t="s">
        <v>730</v>
      </c>
      <c r="BQ69" s="1044" t="s">
        <v>731</v>
      </c>
    </row>
    <row r="70" spans="26:69">
      <c r="Z70" t="s">
        <v>732</v>
      </c>
      <c r="AA70" t="s">
        <v>733</v>
      </c>
      <c r="BP70" s="1044" t="s">
        <v>734</v>
      </c>
      <c r="BQ70" s="1044" t="s">
        <v>735</v>
      </c>
    </row>
    <row r="71" spans="26:69">
      <c r="Z71" t="s">
        <v>736</v>
      </c>
      <c r="AA71" t="s">
        <v>737</v>
      </c>
      <c r="BP71" t="s">
        <v>738</v>
      </c>
      <c r="BQ71" s="1044" t="s">
        <v>739</v>
      </c>
    </row>
    <row r="72" spans="26:27">
      <c r="Z72" t="s">
        <v>740</v>
      </c>
      <c r="AA72" t="s">
        <v>741</v>
      </c>
    </row>
    <row r="73" spans="26:27">
      <c r="Z73" t="s">
        <v>742</v>
      </c>
      <c r="AA73" t="s">
        <v>743</v>
      </c>
    </row>
    <row r="74" spans="26:27">
      <c r="Z74" t="s">
        <v>744</v>
      </c>
      <c r="AA74" t="s">
        <v>745</v>
      </c>
    </row>
    <row r="75" spans="26:27">
      <c r="Z75" t="s">
        <v>746</v>
      </c>
      <c r="AA75" t="s">
        <v>747</v>
      </c>
    </row>
    <row r="76" spans="26:27">
      <c r="Z76" t="s">
        <v>748</v>
      </c>
      <c r="AA76" t="s">
        <v>749</v>
      </c>
    </row>
    <row r="77" spans="26:27">
      <c r="Z77" t="s">
        <v>750</v>
      </c>
      <c r="AA77" t="s">
        <v>751</v>
      </c>
    </row>
    <row r="78" spans="26:27">
      <c r="Z78" t="s">
        <v>752</v>
      </c>
      <c r="AA78" t="s">
        <v>753</v>
      </c>
    </row>
    <row r="79" spans="26:27">
      <c r="Z79" t="s">
        <v>754</v>
      </c>
      <c r="AA79" t="s">
        <v>254</v>
      </c>
    </row>
    <row r="80" spans="26:27">
      <c r="Z80" t="s">
        <v>755</v>
      </c>
      <c r="AA80" t="s">
        <v>756</v>
      </c>
    </row>
    <row r="81" spans="26:27">
      <c r="Z81" t="s">
        <v>757</v>
      </c>
      <c r="AA81" t="s">
        <v>758</v>
      </c>
    </row>
    <row r="82" spans="26:27">
      <c r="Z82" t="s">
        <v>759</v>
      </c>
      <c r="AA82" t="s">
        <v>760</v>
      </c>
    </row>
    <row r="83" spans="26:27">
      <c r="Z83" t="s">
        <v>761</v>
      </c>
      <c r="AA83" t="s">
        <v>762</v>
      </c>
    </row>
    <row r="84" spans="26:27">
      <c r="Z84" t="s">
        <v>763</v>
      </c>
      <c r="AA84" t="s">
        <v>764</v>
      </c>
    </row>
    <row r="85" spans="26:27">
      <c r="Z85" t="s">
        <v>765</v>
      </c>
      <c r="AA85" t="s">
        <v>766</v>
      </c>
    </row>
    <row r="86" spans="26:27">
      <c r="Z86" t="s">
        <v>767</v>
      </c>
      <c r="AA86" t="s">
        <v>768</v>
      </c>
    </row>
    <row r="87" spans="26:27">
      <c r="Z87" t="s">
        <v>769</v>
      </c>
      <c r="AA87" t="s">
        <v>258</v>
      </c>
    </row>
    <row r="88" spans="26:27">
      <c r="Z88" t="s">
        <v>770</v>
      </c>
      <c r="AA88" t="s">
        <v>771</v>
      </c>
    </row>
    <row r="89" spans="26:27">
      <c r="Z89" t="s">
        <v>772</v>
      </c>
      <c r="AA89" t="s">
        <v>773</v>
      </c>
    </row>
    <row r="90" spans="26:27">
      <c r="Z90" t="s">
        <v>774</v>
      </c>
      <c r="AA90" t="s">
        <v>775</v>
      </c>
    </row>
    <row r="91" spans="26:27">
      <c r="Z91" t="s">
        <v>776</v>
      </c>
      <c r="AA91" t="s">
        <v>777</v>
      </c>
    </row>
    <row r="92" spans="26:27">
      <c r="Z92" t="s">
        <v>778</v>
      </c>
      <c r="AA92" t="s">
        <v>779</v>
      </c>
    </row>
    <row r="93" spans="26:27">
      <c r="Z93" t="s">
        <v>780</v>
      </c>
      <c r="AA93" t="s">
        <v>171</v>
      </c>
    </row>
    <row r="94" spans="26:27">
      <c r="Z94" t="s">
        <v>781</v>
      </c>
      <c r="AA94" t="s">
        <v>768</v>
      </c>
    </row>
    <row r="95" spans="26:27">
      <c r="Z95" t="s">
        <v>782</v>
      </c>
      <c r="AA95" t="s">
        <v>783</v>
      </c>
    </row>
    <row r="96" spans="26:27">
      <c r="Z96" t="s">
        <v>784</v>
      </c>
      <c r="AA96" t="s">
        <v>785</v>
      </c>
    </row>
    <row r="97" spans="26:27">
      <c r="Z97" t="s">
        <v>786</v>
      </c>
      <c r="AA97" t="s">
        <v>787</v>
      </c>
    </row>
    <row r="98" spans="26:27">
      <c r="Z98" t="s">
        <v>295</v>
      </c>
      <c r="AA98" t="s">
        <v>788</v>
      </c>
    </row>
    <row r="99" spans="26:27">
      <c r="Z99" t="s">
        <v>328</v>
      </c>
      <c r="AA99" t="s">
        <v>789</v>
      </c>
    </row>
    <row r="100" spans="26:27">
      <c r="Z100" t="s">
        <v>790</v>
      </c>
      <c r="AA100" t="s">
        <v>791</v>
      </c>
    </row>
    <row r="101" spans="26:27">
      <c r="Z101" t="s">
        <v>792</v>
      </c>
      <c r="AA101" t="s">
        <v>793</v>
      </c>
    </row>
    <row r="102" spans="26:27">
      <c r="Z102" t="s">
        <v>278</v>
      </c>
      <c r="AA102" t="s">
        <v>794</v>
      </c>
    </row>
    <row r="103" spans="26:27">
      <c r="Z103" t="s">
        <v>795</v>
      </c>
      <c r="AA103" t="s">
        <v>796</v>
      </c>
    </row>
    <row r="104" spans="26:27">
      <c r="Z104" t="s">
        <v>797</v>
      </c>
      <c r="AA104" t="s">
        <v>798</v>
      </c>
    </row>
    <row r="105" spans="26:27">
      <c r="Z105" t="s">
        <v>799</v>
      </c>
      <c r="AA105" t="s">
        <v>800</v>
      </c>
    </row>
    <row r="106" spans="26:27">
      <c r="Z106" t="s">
        <v>801</v>
      </c>
      <c r="AA106" t="s">
        <v>802</v>
      </c>
    </row>
    <row r="107" spans="26:27">
      <c r="Z107" t="s">
        <v>803</v>
      </c>
      <c r="AA107" t="s">
        <v>804</v>
      </c>
    </row>
    <row r="108" spans="26:27">
      <c r="Z108" t="s">
        <v>805</v>
      </c>
      <c r="AA108" t="s">
        <v>806</v>
      </c>
    </row>
    <row r="109" spans="26:27">
      <c r="Z109" t="s">
        <v>807</v>
      </c>
      <c r="AA109" t="s">
        <v>808</v>
      </c>
    </row>
    <row r="110" spans="26:27">
      <c r="Z110" t="s">
        <v>513</v>
      </c>
      <c r="AA110" t="s">
        <v>809</v>
      </c>
    </row>
    <row r="111" spans="26:27">
      <c r="Z111" t="s">
        <v>810</v>
      </c>
      <c r="AA111" t="s">
        <v>811</v>
      </c>
    </row>
    <row r="112" spans="26:27">
      <c r="Z112" t="s">
        <v>812</v>
      </c>
      <c r="AA112" t="s">
        <v>813</v>
      </c>
    </row>
    <row r="113" spans="26:27">
      <c r="Z113" t="s">
        <v>814</v>
      </c>
      <c r="AA113" t="s">
        <v>815</v>
      </c>
    </row>
    <row r="114" spans="26:27">
      <c r="Z114" t="s">
        <v>316</v>
      </c>
      <c r="AA114" t="s">
        <v>317</v>
      </c>
    </row>
    <row r="115" spans="26:27">
      <c r="Z115" t="s">
        <v>816</v>
      </c>
      <c r="AA115" t="s">
        <v>817</v>
      </c>
    </row>
    <row r="116" spans="26:27">
      <c r="Z116" t="s">
        <v>818</v>
      </c>
      <c r="AA116" t="s">
        <v>819</v>
      </c>
    </row>
    <row r="117" spans="26:27">
      <c r="Z117" t="s">
        <v>820</v>
      </c>
      <c r="AA117" t="s">
        <v>821</v>
      </c>
    </row>
    <row r="118" spans="26:27">
      <c r="Z118" t="s">
        <v>778</v>
      </c>
      <c r="AA118" t="s">
        <v>822</v>
      </c>
    </row>
    <row r="119" spans="26:27">
      <c r="Z119" t="s">
        <v>823</v>
      </c>
      <c r="AA119" t="s">
        <v>824</v>
      </c>
    </row>
    <row r="120" spans="26:27">
      <c r="Z120" t="s">
        <v>825</v>
      </c>
      <c r="AA120" t="s">
        <v>826</v>
      </c>
    </row>
    <row r="121" spans="26:27">
      <c r="Z121" t="s">
        <v>227</v>
      </c>
      <c r="AA121" t="s">
        <v>827</v>
      </c>
    </row>
    <row r="122" spans="26:27">
      <c r="Z122" t="s">
        <v>828</v>
      </c>
      <c r="AA122" t="s">
        <v>509</v>
      </c>
    </row>
    <row r="123" spans="26:27">
      <c r="Z123" t="s">
        <v>829</v>
      </c>
      <c r="AA123" t="s">
        <v>189</v>
      </c>
    </row>
    <row r="124" spans="26:27">
      <c r="Z124" t="s">
        <v>828</v>
      </c>
      <c r="AA124" t="s">
        <v>509</v>
      </c>
    </row>
    <row r="125" spans="26:27">
      <c r="Z125" t="s">
        <v>830</v>
      </c>
      <c r="AA125" t="s">
        <v>831</v>
      </c>
    </row>
    <row r="126" spans="26:27">
      <c r="Z126" t="s">
        <v>832</v>
      </c>
      <c r="AA126" t="s">
        <v>833</v>
      </c>
    </row>
    <row r="127" spans="26:27">
      <c r="Z127" t="s">
        <v>834</v>
      </c>
      <c r="AA127" t="s">
        <v>835</v>
      </c>
    </row>
    <row r="128" spans="26:27">
      <c r="Z128" t="s">
        <v>836</v>
      </c>
      <c r="AA128" t="s">
        <v>837</v>
      </c>
    </row>
    <row r="129" spans="26:27">
      <c r="Z129" t="s">
        <v>838</v>
      </c>
      <c r="AA129" t="s">
        <v>839</v>
      </c>
    </row>
    <row r="130" spans="26:27">
      <c r="Z130" t="s">
        <v>840</v>
      </c>
      <c r="AA130" t="s">
        <v>841</v>
      </c>
    </row>
    <row r="131" spans="26:27">
      <c r="Z131" t="s">
        <v>842</v>
      </c>
      <c r="AA131" t="s">
        <v>843</v>
      </c>
    </row>
    <row r="132" spans="26:27">
      <c r="Z132" t="s">
        <v>844</v>
      </c>
      <c r="AA132" t="s">
        <v>845</v>
      </c>
    </row>
    <row r="133" spans="26:27">
      <c r="Z133" t="s">
        <v>846</v>
      </c>
      <c r="AA133" t="s">
        <v>847</v>
      </c>
    </row>
    <row r="134" spans="26:27">
      <c r="Z134" t="s">
        <v>848</v>
      </c>
      <c r="AA134" t="s">
        <v>849</v>
      </c>
    </row>
    <row r="135" spans="26:27">
      <c r="Z135" t="s">
        <v>850</v>
      </c>
      <c r="AA135" t="s">
        <v>851</v>
      </c>
    </row>
    <row r="136" spans="26:27">
      <c r="Z136" t="s">
        <v>852</v>
      </c>
      <c r="AA136" t="s">
        <v>853</v>
      </c>
    </row>
    <row r="137" spans="26:27">
      <c r="Z137" t="s">
        <v>854</v>
      </c>
      <c r="AA137" t="s">
        <v>855</v>
      </c>
    </row>
    <row r="138" spans="26:27">
      <c r="Z138" t="s">
        <v>856</v>
      </c>
      <c r="AA138" t="s">
        <v>857</v>
      </c>
    </row>
    <row r="139" spans="26:27">
      <c r="Z139" t="s">
        <v>858</v>
      </c>
      <c r="AA139" t="s">
        <v>859</v>
      </c>
    </row>
    <row r="140" spans="26:27">
      <c r="Z140" t="s">
        <v>860</v>
      </c>
      <c r="AA140" t="s">
        <v>861</v>
      </c>
    </row>
    <row r="141" spans="26:27">
      <c r="Z141" t="s">
        <v>862</v>
      </c>
      <c r="AA141" t="s">
        <v>863</v>
      </c>
    </row>
    <row r="142" spans="26:27">
      <c r="Z142" t="s">
        <v>864</v>
      </c>
      <c r="AA142" t="s">
        <v>865</v>
      </c>
    </row>
    <row r="143" spans="26:27">
      <c r="Z143" t="s">
        <v>866</v>
      </c>
      <c r="AA143" t="s">
        <v>867</v>
      </c>
    </row>
    <row r="144" spans="26:27">
      <c r="Z144" t="s">
        <v>868</v>
      </c>
      <c r="AA144" t="s">
        <v>869</v>
      </c>
    </row>
    <row r="145" spans="26:27">
      <c r="Z145" t="s">
        <v>870</v>
      </c>
      <c r="AA145" t="s">
        <v>871</v>
      </c>
    </row>
    <row r="146" spans="26:27">
      <c r="Z146" t="s">
        <v>872</v>
      </c>
      <c r="AA146" t="s">
        <v>76</v>
      </c>
    </row>
    <row r="147" spans="26:27">
      <c r="Z147" t="s">
        <v>873</v>
      </c>
      <c r="AA147" t="s">
        <v>120</v>
      </c>
    </row>
    <row r="148" spans="26:27">
      <c r="Z148" t="s">
        <v>874</v>
      </c>
      <c r="AA148" t="s">
        <v>165</v>
      </c>
    </row>
    <row r="149" spans="26:27">
      <c r="Z149" t="s">
        <v>875</v>
      </c>
      <c r="AA149" t="s">
        <v>206</v>
      </c>
    </row>
    <row r="150" spans="26:27">
      <c r="Z150" t="s">
        <v>244</v>
      </c>
      <c r="AA150" t="s">
        <v>245</v>
      </c>
    </row>
    <row r="151" spans="26:27">
      <c r="Z151" t="s">
        <v>282</v>
      </c>
      <c r="AA151" t="s">
        <v>283</v>
      </c>
    </row>
    <row r="152" spans="26:27">
      <c r="Z152" t="s">
        <v>876</v>
      </c>
      <c r="AA152" t="s">
        <v>877</v>
      </c>
    </row>
    <row r="153" spans="26:27">
      <c r="Z153" t="s">
        <v>878</v>
      </c>
      <c r="AA153" t="s">
        <v>879</v>
      </c>
    </row>
  </sheetData>
  <mergeCells count="31">
    <mergeCell ref="CA16:CB16"/>
    <mergeCell ref="BY17:BZ17"/>
    <mergeCell ref="CA17:CB17"/>
    <mergeCell ref="BY18:BZ18"/>
    <mergeCell ref="CA18:CB18"/>
    <mergeCell ref="BY19:BZ19"/>
    <mergeCell ref="CA19:CB19"/>
    <mergeCell ref="BY20:BZ20"/>
    <mergeCell ref="CA20:CB20"/>
    <mergeCell ref="BY21:BZ21"/>
    <mergeCell ref="BY22:BZ22"/>
    <mergeCell ref="BY23:BZ23"/>
    <mergeCell ref="BW24:BX24"/>
    <mergeCell ref="BY24:BZ24"/>
    <mergeCell ref="BW25:BX25"/>
    <mergeCell ref="BY25:BZ25"/>
    <mergeCell ref="BW26:BX26"/>
    <mergeCell ref="BY26:BZ26"/>
    <mergeCell ref="BW27:BX27"/>
    <mergeCell ref="BW28:BX28"/>
    <mergeCell ref="BW29:BX29"/>
    <mergeCell ref="BW30:BX30"/>
    <mergeCell ref="BW31:BX31"/>
    <mergeCell ref="BW32:BX32"/>
    <mergeCell ref="BW33:BX33"/>
    <mergeCell ref="BW34:BX34"/>
    <mergeCell ref="BW35:BX35"/>
    <mergeCell ref="BW36:BX36"/>
    <mergeCell ref="BW37:BX37"/>
    <mergeCell ref="BW38:BX38"/>
    <mergeCell ref="BW39:BX39"/>
  </mergeCell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_opm00"/>
  <dimension ref="A1:L38"/>
  <sheetViews>
    <sheetView showGridLines="0" zoomScale="85" zoomScaleNormal="85" workbookViewId="0">
      <selection activeCell="A2" sqref="A2"/>
    </sheetView>
  </sheetViews>
  <sheetFormatPr defaultColWidth="9" defaultRowHeight="14.25"/>
  <cols>
    <col min="1" max="1" width="1.5" style="960" customWidth="1"/>
    <col min="2" max="2" width="2.5" style="960" customWidth="1"/>
    <col min="3" max="3" width="6.625" style="960" customWidth="1"/>
    <col min="4" max="4" width="11.625" style="960" customWidth="1"/>
    <col min="5" max="5" width="12.625" style="960" customWidth="1"/>
    <col min="6" max="6" width="11.5" style="960" customWidth="1"/>
    <col min="7" max="7" width="10.5" style="960" customWidth="1"/>
    <col min="8" max="8" width="19.625" style="960" customWidth="1"/>
    <col min="9" max="9" width="10.5" style="960" customWidth="1"/>
    <col min="10" max="10" width="17.25" style="960" customWidth="1"/>
    <col min="11" max="11" width="12.5" style="960" customWidth="1"/>
    <col min="12" max="12" width="2.125" style="960" customWidth="1"/>
    <col min="13" max="256" width="9" style="960"/>
    <col min="257" max="257" width="1.5" style="960" customWidth="1"/>
    <col min="258" max="258" width="2.5" style="960" customWidth="1"/>
    <col min="259" max="259" width="4.5" style="960" customWidth="1"/>
    <col min="260" max="260" width="8.5" style="960" customWidth="1"/>
    <col min="261" max="263" width="10.5" style="960" customWidth="1"/>
    <col min="264" max="264" width="15.5" style="960" customWidth="1"/>
    <col min="265" max="265" width="10.5" style="960" customWidth="1"/>
    <col min="266" max="266" width="13.5" style="960" customWidth="1"/>
    <col min="267" max="267" width="12.5" style="960" customWidth="1"/>
    <col min="268" max="268" width="2.125" style="960" customWidth="1"/>
    <col min="269" max="512" width="9" style="960"/>
    <col min="513" max="513" width="1.5" style="960" customWidth="1"/>
    <col min="514" max="514" width="2.5" style="960" customWidth="1"/>
    <col min="515" max="515" width="4.5" style="960" customWidth="1"/>
    <col min="516" max="516" width="8.5" style="960" customWidth="1"/>
    <col min="517" max="519" width="10.5" style="960" customWidth="1"/>
    <col min="520" max="520" width="15.5" style="960" customWidth="1"/>
    <col min="521" max="521" width="10.5" style="960" customWidth="1"/>
    <col min="522" max="522" width="13.5" style="960" customWidth="1"/>
    <col min="523" max="523" width="12.5" style="960" customWidth="1"/>
    <col min="524" max="524" width="2.125" style="960" customWidth="1"/>
    <col min="525" max="768" width="9" style="960"/>
    <col min="769" max="769" width="1.5" style="960" customWidth="1"/>
    <col min="770" max="770" width="2.5" style="960" customWidth="1"/>
    <col min="771" max="771" width="4.5" style="960" customWidth="1"/>
    <col min="772" max="772" width="8.5" style="960" customWidth="1"/>
    <col min="773" max="775" width="10.5" style="960" customWidth="1"/>
    <col min="776" max="776" width="15.5" style="960" customWidth="1"/>
    <col min="777" max="777" width="10.5" style="960" customWidth="1"/>
    <col min="778" max="778" width="13.5" style="960" customWidth="1"/>
    <col min="779" max="779" width="12.5" style="960" customWidth="1"/>
    <col min="780" max="780" width="2.125" style="960" customWidth="1"/>
    <col min="781" max="1024" width="9" style="960"/>
    <col min="1025" max="1025" width="1.5" style="960" customWidth="1"/>
    <col min="1026" max="1026" width="2.5" style="960" customWidth="1"/>
    <col min="1027" max="1027" width="4.5" style="960" customWidth="1"/>
    <col min="1028" max="1028" width="8.5" style="960" customWidth="1"/>
    <col min="1029" max="1031" width="10.5" style="960" customWidth="1"/>
    <col min="1032" max="1032" width="15.5" style="960" customWidth="1"/>
    <col min="1033" max="1033" width="10.5" style="960" customWidth="1"/>
    <col min="1034" max="1034" width="13.5" style="960" customWidth="1"/>
    <col min="1035" max="1035" width="12.5" style="960" customWidth="1"/>
    <col min="1036" max="1036" width="2.125" style="960" customWidth="1"/>
    <col min="1037" max="1280" width="9" style="960"/>
    <col min="1281" max="1281" width="1.5" style="960" customWidth="1"/>
    <col min="1282" max="1282" width="2.5" style="960" customWidth="1"/>
    <col min="1283" max="1283" width="4.5" style="960" customWidth="1"/>
    <col min="1284" max="1284" width="8.5" style="960" customWidth="1"/>
    <col min="1285" max="1287" width="10.5" style="960" customWidth="1"/>
    <col min="1288" max="1288" width="15.5" style="960" customWidth="1"/>
    <col min="1289" max="1289" width="10.5" style="960" customWidth="1"/>
    <col min="1290" max="1290" width="13.5" style="960" customWidth="1"/>
    <col min="1291" max="1291" width="12.5" style="960" customWidth="1"/>
    <col min="1292" max="1292" width="2.125" style="960" customWidth="1"/>
    <col min="1293" max="1536" width="9" style="960"/>
    <col min="1537" max="1537" width="1.5" style="960" customWidth="1"/>
    <col min="1538" max="1538" width="2.5" style="960" customWidth="1"/>
    <col min="1539" max="1539" width="4.5" style="960" customWidth="1"/>
    <col min="1540" max="1540" width="8.5" style="960" customWidth="1"/>
    <col min="1541" max="1543" width="10.5" style="960" customWidth="1"/>
    <col min="1544" max="1544" width="15.5" style="960" customWidth="1"/>
    <col min="1545" max="1545" width="10.5" style="960" customWidth="1"/>
    <col min="1546" max="1546" width="13.5" style="960" customWidth="1"/>
    <col min="1547" max="1547" width="12.5" style="960" customWidth="1"/>
    <col min="1548" max="1548" width="2.125" style="960" customWidth="1"/>
    <col min="1549" max="1792" width="9" style="960"/>
    <col min="1793" max="1793" width="1.5" style="960" customWidth="1"/>
    <col min="1794" max="1794" width="2.5" style="960" customWidth="1"/>
    <col min="1795" max="1795" width="4.5" style="960" customWidth="1"/>
    <col min="1796" max="1796" width="8.5" style="960" customWidth="1"/>
    <col min="1797" max="1799" width="10.5" style="960" customWidth="1"/>
    <col min="1800" max="1800" width="15.5" style="960" customWidth="1"/>
    <col min="1801" max="1801" width="10.5" style="960" customWidth="1"/>
    <col min="1802" max="1802" width="13.5" style="960" customWidth="1"/>
    <col min="1803" max="1803" width="12.5" style="960" customWidth="1"/>
    <col min="1804" max="1804" width="2.125" style="960" customWidth="1"/>
    <col min="1805" max="2048" width="9" style="960"/>
    <col min="2049" max="2049" width="1.5" style="960" customWidth="1"/>
    <col min="2050" max="2050" width="2.5" style="960" customWidth="1"/>
    <col min="2051" max="2051" width="4.5" style="960" customWidth="1"/>
    <col min="2052" max="2052" width="8.5" style="960" customWidth="1"/>
    <col min="2053" max="2055" width="10.5" style="960" customWidth="1"/>
    <col min="2056" max="2056" width="15.5" style="960" customWidth="1"/>
    <col min="2057" max="2057" width="10.5" style="960" customWidth="1"/>
    <col min="2058" max="2058" width="13.5" style="960" customWidth="1"/>
    <col min="2059" max="2059" width="12.5" style="960" customWidth="1"/>
    <col min="2060" max="2060" width="2.125" style="960" customWidth="1"/>
    <col min="2061" max="2304" width="9" style="960"/>
    <col min="2305" max="2305" width="1.5" style="960" customWidth="1"/>
    <col min="2306" max="2306" width="2.5" style="960" customWidth="1"/>
    <col min="2307" max="2307" width="4.5" style="960" customWidth="1"/>
    <col min="2308" max="2308" width="8.5" style="960" customWidth="1"/>
    <col min="2309" max="2311" width="10.5" style="960" customWidth="1"/>
    <col min="2312" max="2312" width="15.5" style="960" customWidth="1"/>
    <col min="2313" max="2313" width="10.5" style="960" customWidth="1"/>
    <col min="2314" max="2314" width="13.5" style="960" customWidth="1"/>
    <col min="2315" max="2315" width="12.5" style="960" customWidth="1"/>
    <col min="2316" max="2316" width="2.125" style="960" customWidth="1"/>
    <col min="2317" max="2560" width="9" style="960"/>
    <col min="2561" max="2561" width="1.5" style="960" customWidth="1"/>
    <col min="2562" max="2562" width="2.5" style="960" customWidth="1"/>
    <col min="2563" max="2563" width="4.5" style="960" customWidth="1"/>
    <col min="2564" max="2564" width="8.5" style="960" customWidth="1"/>
    <col min="2565" max="2567" width="10.5" style="960" customWidth="1"/>
    <col min="2568" max="2568" width="15.5" style="960" customWidth="1"/>
    <col min="2569" max="2569" width="10.5" style="960" customWidth="1"/>
    <col min="2570" max="2570" width="13.5" style="960" customWidth="1"/>
    <col min="2571" max="2571" width="12.5" style="960" customWidth="1"/>
    <col min="2572" max="2572" width="2.125" style="960" customWidth="1"/>
    <col min="2573" max="2816" width="9" style="960"/>
    <col min="2817" max="2817" width="1.5" style="960" customWidth="1"/>
    <col min="2818" max="2818" width="2.5" style="960" customWidth="1"/>
    <col min="2819" max="2819" width="4.5" style="960" customWidth="1"/>
    <col min="2820" max="2820" width="8.5" style="960" customWidth="1"/>
    <col min="2821" max="2823" width="10.5" style="960" customWidth="1"/>
    <col min="2824" max="2824" width="15.5" style="960" customWidth="1"/>
    <col min="2825" max="2825" width="10.5" style="960" customWidth="1"/>
    <col min="2826" max="2826" width="13.5" style="960" customWidth="1"/>
    <col min="2827" max="2827" width="12.5" style="960" customWidth="1"/>
    <col min="2828" max="2828" width="2.125" style="960" customWidth="1"/>
    <col min="2829" max="3072" width="9" style="960"/>
    <col min="3073" max="3073" width="1.5" style="960" customWidth="1"/>
    <col min="3074" max="3074" width="2.5" style="960" customWidth="1"/>
    <col min="3075" max="3075" width="4.5" style="960" customWidth="1"/>
    <col min="3076" max="3076" width="8.5" style="960" customWidth="1"/>
    <col min="3077" max="3079" width="10.5" style="960" customWidth="1"/>
    <col min="3080" max="3080" width="15.5" style="960" customWidth="1"/>
    <col min="3081" max="3081" width="10.5" style="960" customWidth="1"/>
    <col min="3082" max="3082" width="13.5" style="960" customWidth="1"/>
    <col min="3083" max="3083" width="12.5" style="960" customWidth="1"/>
    <col min="3084" max="3084" width="2.125" style="960" customWidth="1"/>
    <col min="3085" max="3328" width="9" style="960"/>
    <col min="3329" max="3329" width="1.5" style="960" customWidth="1"/>
    <col min="3330" max="3330" width="2.5" style="960" customWidth="1"/>
    <col min="3331" max="3331" width="4.5" style="960" customWidth="1"/>
    <col min="3332" max="3332" width="8.5" style="960" customWidth="1"/>
    <col min="3333" max="3335" width="10.5" style="960" customWidth="1"/>
    <col min="3336" max="3336" width="15.5" style="960" customWidth="1"/>
    <col min="3337" max="3337" width="10.5" style="960" customWidth="1"/>
    <col min="3338" max="3338" width="13.5" style="960" customWidth="1"/>
    <col min="3339" max="3339" width="12.5" style="960" customWidth="1"/>
    <col min="3340" max="3340" width="2.125" style="960" customWidth="1"/>
    <col min="3341" max="3584" width="9" style="960"/>
    <col min="3585" max="3585" width="1.5" style="960" customWidth="1"/>
    <col min="3586" max="3586" width="2.5" style="960" customWidth="1"/>
    <col min="3587" max="3587" width="4.5" style="960" customWidth="1"/>
    <col min="3588" max="3588" width="8.5" style="960" customWidth="1"/>
    <col min="3589" max="3591" width="10.5" style="960" customWidth="1"/>
    <col min="3592" max="3592" width="15.5" style="960" customWidth="1"/>
    <col min="3593" max="3593" width="10.5" style="960" customWidth="1"/>
    <col min="3594" max="3594" width="13.5" style="960" customWidth="1"/>
    <col min="3595" max="3595" width="12.5" style="960" customWidth="1"/>
    <col min="3596" max="3596" width="2.125" style="960" customWidth="1"/>
    <col min="3597" max="3840" width="9" style="960"/>
    <col min="3841" max="3841" width="1.5" style="960" customWidth="1"/>
    <col min="3842" max="3842" width="2.5" style="960" customWidth="1"/>
    <col min="3843" max="3843" width="4.5" style="960" customWidth="1"/>
    <col min="3844" max="3844" width="8.5" style="960" customWidth="1"/>
    <col min="3845" max="3847" width="10.5" style="960" customWidth="1"/>
    <col min="3848" max="3848" width="15.5" style="960" customWidth="1"/>
    <col min="3849" max="3849" width="10.5" style="960" customWidth="1"/>
    <col min="3850" max="3850" width="13.5" style="960" customWidth="1"/>
    <col min="3851" max="3851" width="12.5" style="960" customWidth="1"/>
    <col min="3852" max="3852" width="2.125" style="960" customWidth="1"/>
    <col min="3853" max="4096" width="9" style="960"/>
    <col min="4097" max="4097" width="1.5" style="960" customWidth="1"/>
    <col min="4098" max="4098" width="2.5" style="960" customWidth="1"/>
    <col min="4099" max="4099" width="4.5" style="960" customWidth="1"/>
    <col min="4100" max="4100" width="8.5" style="960" customWidth="1"/>
    <col min="4101" max="4103" width="10.5" style="960" customWidth="1"/>
    <col min="4104" max="4104" width="15.5" style="960" customWidth="1"/>
    <col min="4105" max="4105" width="10.5" style="960" customWidth="1"/>
    <col min="4106" max="4106" width="13.5" style="960" customWidth="1"/>
    <col min="4107" max="4107" width="12.5" style="960" customWidth="1"/>
    <col min="4108" max="4108" width="2.125" style="960" customWidth="1"/>
    <col min="4109" max="4352" width="9" style="960"/>
    <col min="4353" max="4353" width="1.5" style="960" customWidth="1"/>
    <col min="4354" max="4354" width="2.5" style="960" customWidth="1"/>
    <col min="4355" max="4355" width="4.5" style="960" customWidth="1"/>
    <col min="4356" max="4356" width="8.5" style="960" customWidth="1"/>
    <col min="4357" max="4359" width="10.5" style="960" customWidth="1"/>
    <col min="4360" max="4360" width="15.5" style="960" customWidth="1"/>
    <col min="4361" max="4361" width="10.5" style="960" customWidth="1"/>
    <col min="4362" max="4362" width="13.5" style="960" customWidth="1"/>
    <col min="4363" max="4363" width="12.5" style="960" customWidth="1"/>
    <col min="4364" max="4364" width="2.125" style="960" customWidth="1"/>
    <col min="4365" max="4608" width="9" style="960"/>
    <col min="4609" max="4609" width="1.5" style="960" customWidth="1"/>
    <col min="4610" max="4610" width="2.5" style="960" customWidth="1"/>
    <col min="4611" max="4611" width="4.5" style="960" customWidth="1"/>
    <col min="4612" max="4612" width="8.5" style="960" customWidth="1"/>
    <col min="4613" max="4615" width="10.5" style="960" customWidth="1"/>
    <col min="4616" max="4616" width="15.5" style="960" customWidth="1"/>
    <col min="4617" max="4617" width="10.5" style="960" customWidth="1"/>
    <col min="4618" max="4618" width="13.5" style="960" customWidth="1"/>
    <col min="4619" max="4619" width="12.5" style="960" customWidth="1"/>
    <col min="4620" max="4620" width="2.125" style="960" customWidth="1"/>
    <col min="4621" max="4864" width="9" style="960"/>
    <col min="4865" max="4865" width="1.5" style="960" customWidth="1"/>
    <col min="4866" max="4866" width="2.5" style="960" customWidth="1"/>
    <col min="4867" max="4867" width="4.5" style="960" customWidth="1"/>
    <col min="4868" max="4868" width="8.5" style="960" customWidth="1"/>
    <col min="4869" max="4871" width="10.5" style="960" customWidth="1"/>
    <col min="4872" max="4872" width="15.5" style="960" customWidth="1"/>
    <col min="4873" max="4873" width="10.5" style="960" customWidth="1"/>
    <col min="4874" max="4874" width="13.5" style="960" customWidth="1"/>
    <col min="4875" max="4875" width="12.5" style="960" customWidth="1"/>
    <col min="4876" max="4876" width="2.125" style="960" customWidth="1"/>
    <col min="4877" max="5120" width="9" style="960"/>
    <col min="5121" max="5121" width="1.5" style="960" customWidth="1"/>
    <col min="5122" max="5122" width="2.5" style="960" customWidth="1"/>
    <col min="5123" max="5123" width="4.5" style="960" customWidth="1"/>
    <col min="5124" max="5124" width="8.5" style="960" customWidth="1"/>
    <col min="5125" max="5127" width="10.5" style="960" customWidth="1"/>
    <col min="5128" max="5128" width="15.5" style="960" customWidth="1"/>
    <col min="5129" max="5129" width="10.5" style="960" customWidth="1"/>
    <col min="5130" max="5130" width="13.5" style="960" customWidth="1"/>
    <col min="5131" max="5131" width="12.5" style="960" customWidth="1"/>
    <col min="5132" max="5132" width="2.125" style="960" customWidth="1"/>
    <col min="5133" max="5376" width="9" style="960"/>
    <col min="5377" max="5377" width="1.5" style="960" customWidth="1"/>
    <col min="5378" max="5378" width="2.5" style="960" customWidth="1"/>
    <col min="5379" max="5379" width="4.5" style="960" customWidth="1"/>
    <col min="5380" max="5380" width="8.5" style="960" customWidth="1"/>
    <col min="5381" max="5383" width="10.5" style="960" customWidth="1"/>
    <col min="5384" max="5384" width="15.5" style="960" customWidth="1"/>
    <col min="5385" max="5385" width="10.5" style="960" customWidth="1"/>
    <col min="5386" max="5386" width="13.5" style="960" customWidth="1"/>
    <col min="5387" max="5387" width="12.5" style="960" customWidth="1"/>
    <col min="5388" max="5388" width="2.125" style="960" customWidth="1"/>
    <col min="5389" max="5632" width="9" style="960"/>
    <col min="5633" max="5633" width="1.5" style="960" customWidth="1"/>
    <col min="5634" max="5634" width="2.5" style="960" customWidth="1"/>
    <col min="5635" max="5635" width="4.5" style="960" customWidth="1"/>
    <col min="5636" max="5636" width="8.5" style="960" customWidth="1"/>
    <col min="5637" max="5639" width="10.5" style="960" customWidth="1"/>
    <col min="5640" max="5640" width="15.5" style="960" customWidth="1"/>
    <col min="5641" max="5641" width="10.5" style="960" customWidth="1"/>
    <col min="5642" max="5642" width="13.5" style="960" customWidth="1"/>
    <col min="5643" max="5643" width="12.5" style="960" customWidth="1"/>
    <col min="5644" max="5644" width="2.125" style="960" customWidth="1"/>
    <col min="5645" max="5888" width="9" style="960"/>
    <col min="5889" max="5889" width="1.5" style="960" customWidth="1"/>
    <col min="5890" max="5890" width="2.5" style="960" customWidth="1"/>
    <col min="5891" max="5891" width="4.5" style="960" customWidth="1"/>
    <col min="5892" max="5892" width="8.5" style="960" customWidth="1"/>
    <col min="5893" max="5895" width="10.5" style="960" customWidth="1"/>
    <col min="5896" max="5896" width="15.5" style="960" customWidth="1"/>
    <col min="5897" max="5897" width="10.5" style="960" customWidth="1"/>
    <col min="5898" max="5898" width="13.5" style="960" customWidth="1"/>
    <col min="5899" max="5899" width="12.5" style="960" customWidth="1"/>
    <col min="5900" max="5900" width="2.125" style="960" customWidth="1"/>
    <col min="5901" max="6144" width="9" style="960"/>
    <col min="6145" max="6145" width="1.5" style="960" customWidth="1"/>
    <col min="6146" max="6146" width="2.5" style="960" customWidth="1"/>
    <col min="6147" max="6147" width="4.5" style="960" customWidth="1"/>
    <col min="6148" max="6148" width="8.5" style="960" customWidth="1"/>
    <col min="6149" max="6151" width="10.5" style="960" customWidth="1"/>
    <col min="6152" max="6152" width="15.5" style="960" customWidth="1"/>
    <col min="6153" max="6153" width="10.5" style="960" customWidth="1"/>
    <col min="6154" max="6154" width="13.5" style="960" customWidth="1"/>
    <col min="6155" max="6155" width="12.5" style="960" customWidth="1"/>
    <col min="6156" max="6156" width="2.125" style="960" customWidth="1"/>
    <col min="6157" max="6400" width="9" style="960"/>
    <col min="6401" max="6401" width="1.5" style="960" customWidth="1"/>
    <col min="6402" max="6402" width="2.5" style="960" customWidth="1"/>
    <col min="6403" max="6403" width="4.5" style="960" customWidth="1"/>
    <col min="6404" max="6404" width="8.5" style="960" customWidth="1"/>
    <col min="6405" max="6407" width="10.5" style="960" customWidth="1"/>
    <col min="6408" max="6408" width="15.5" style="960" customWidth="1"/>
    <col min="6409" max="6409" width="10.5" style="960" customWidth="1"/>
    <col min="6410" max="6410" width="13.5" style="960" customWidth="1"/>
    <col min="6411" max="6411" width="12.5" style="960" customWidth="1"/>
    <col min="6412" max="6412" width="2.125" style="960" customWidth="1"/>
    <col min="6413" max="6656" width="9" style="960"/>
    <col min="6657" max="6657" width="1.5" style="960" customWidth="1"/>
    <col min="6658" max="6658" width="2.5" style="960" customWidth="1"/>
    <col min="6659" max="6659" width="4.5" style="960" customWidth="1"/>
    <col min="6660" max="6660" width="8.5" style="960" customWidth="1"/>
    <col min="6661" max="6663" width="10.5" style="960" customWidth="1"/>
    <col min="6664" max="6664" width="15.5" style="960" customWidth="1"/>
    <col min="6665" max="6665" width="10.5" style="960" customWidth="1"/>
    <col min="6666" max="6666" width="13.5" style="960" customWidth="1"/>
    <col min="6667" max="6667" width="12.5" style="960" customWidth="1"/>
    <col min="6668" max="6668" width="2.125" style="960" customWidth="1"/>
    <col min="6669" max="6912" width="9" style="960"/>
    <col min="6913" max="6913" width="1.5" style="960" customWidth="1"/>
    <col min="6914" max="6914" width="2.5" style="960" customWidth="1"/>
    <col min="6915" max="6915" width="4.5" style="960" customWidth="1"/>
    <col min="6916" max="6916" width="8.5" style="960" customWidth="1"/>
    <col min="6917" max="6919" width="10.5" style="960" customWidth="1"/>
    <col min="6920" max="6920" width="15.5" style="960" customWidth="1"/>
    <col min="6921" max="6921" width="10.5" style="960" customWidth="1"/>
    <col min="6922" max="6922" width="13.5" style="960" customWidth="1"/>
    <col min="6923" max="6923" width="12.5" style="960" customWidth="1"/>
    <col min="6924" max="6924" width="2.125" style="960" customWidth="1"/>
    <col min="6925" max="7168" width="9" style="960"/>
    <col min="7169" max="7169" width="1.5" style="960" customWidth="1"/>
    <col min="7170" max="7170" width="2.5" style="960" customWidth="1"/>
    <col min="7171" max="7171" width="4.5" style="960" customWidth="1"/>
    <col min="7172" max="7172" width="8.5" style="960" customWidth="1"/>
    <col min="7173" max="7175" width="10.5" style="960" customWidth="1"/>
    <col min="7176" max="7176" width="15.5" style="960" customWidth="1"/>
    <col min="7177" max="7177" width="10.5" style="960" customWidth="1"/>
    <col min="7178" max="7178" width="13.5" style="960" customWidth="1"/>
    <col min="7179" max="7179" width="12.5" style="960" customWidth="1"/>
    <col min="7180" max="7180" width="2.125" style="960" customWidth="1"/>
    <col min="7181" max="7424" width="9" style="960"/>
    <col min="7425" max="7425" width="1.5" style="960" customWidth="1"/>
    <col min="7426" max="7426" width="2.5" style="960" customWidth="1"/>
    <col min="7427" max="7427" width="4.5" style="960" customWidth="1"/>
    <col min="7428" max="7428" width="8.5" style="960" customWidth="1"/>
    <col min="7429" max="7431" width="10.5" style="960" customWidth="1"/>
    <col min="7432" max="7432" width="15.5" style="960" customWidth="1"/>
    <col min="7433" max="7433" width="10.5" style="960" customWidth="1"/>
    <col min="7434" max="7434" width="13.5" style="960" customWidth="1"/>
    <col min="7435" max="7435" width="12.5" style="960" customWidth="1"/>
    <col min="7436" max="7436" width="2.125" style="960" customWidth="1"/>
    <col min="7437" max="7680" width="9" style="960"/>
    <col min="7681" max="7681" width="1.5" style="960" customWidth="1"/>
    <col min="7682" max="7682" width="2.5" style="960" customWidth="1"/>
    <col min="7683" max="7683" width="4.5" style="960" customWidth="1"/>
    <col min="7684" max="7684" width="8.5" style="960" customWidth="1"/>
    <col min="7685" max="7687" width="10.5" style="960" customWidth="1"/>
    <col min="7688" max="7688" width="15.5" style="960" customWidth="1"/>
    <col min="7689" max="7689" width="10.5" style="960" customWidth="1"/>
    <col min="7690" max="7690" width="13.5" style="960" customWidth="1"/>
    <col min="7691" max="7691" width="12.5" style="960" customWidth="1"/>
    <col min="7692" max="7692" width="2.125" style="960" customWidth="1"/>
    <col min="7693" max="7936" width="9" style="960"/>
    <col min="7937" max="7937" width="1.5" style="960" customWidth="1"/>
    <col min="7938" max="7938" width="2.5" style="960" customWidth="1"/>
    <col min="7939" max="7939" width="4.5" style="960" customWidth="1"/>
    <col min="7940" max="7940" width="8.5" style="960" customWidth="1"/>
    <col min="7941" max="7943" width="10.5" style="960" customWidth="1"/>
    <col min="7944" max="7944" width="15.5" style="960" customWidth="1"/>
    <col min="7945" max="7945" width="10.5" style="960" customWidth="1"/>
    <col min="7946" max="7946" width="13.5" style="960" customWidth="1"/>
    <col min="7947" max="7947" width="12.5" style="960" customWidth="1"/>
    <col min="7948" max="7948" width="2.125" style="960" customWidth="1"/>
    <col min="7949" max="8192" width="9" style="960"/>
    <col min="8193" max="8193" width="1.5" style="960" customWidth="1"/>
    <col min="8194" max="8194" width="2.5" style="960" customWidth="1"/>
    <col min="8195" max="8195" width="4.5" style="960" customWidth="1"/>
    <col min="8196" max="8196" width="8.5" style="960" customWidth="1"/>
    <col min="8197" max="8199" width="10.5" style="960" customWidth="1"/>
    <col min="8200" max="8200" width="15.5" style="960" customWidth="1"/>
    <col min="8201" max="8201" width="10.5" style="960" customWidth="1"/>
    <col min="8202" max="8202" width="13.5" style="960" customWidth="1"/>
    <col min="8203" max="8203" width="12.5" style="960" customWidth="1"/>
    <col min="8204" max="8204" width="2.125" style="960" customWidth="1"/>
    <col min="8205" max="8448" width="9" style="960"/>
    <col min="8449" max="8449" width="1.5" style="960" customWidth="1"/>
    <col min="8450" max="8450" width="2.5" style="960" customWidth="1"/>
    <col min="8451" max="8451" width="4.5" style="960" customWidth="1"/>
    <col min="8452" max="8452" width="8.5" style="960" customWidth="1"/>
    <col min="8453" max="8455" width="10.5" style="960" customWidth="1"/>
    <col min="8456" max="8456" width="15.5" style="960" customWidth="1"/>
    <col min="8457" max="8457" width="10.5" style="960" customWidth="1"/>
    <col min="8458" max="8458" width="13.5" style="960" customWidth="1"/>
    <col min="8459" max="8459" width="12.5" style="960" customWidth="1"/>
    <col min="8460" max="8460" width="2.125" style="960" customWidth="1"/>
    <col min="8461" max="8704" width="9" style="960"/>
    <col min="8705" max="8705" width="1.5" style="960" customWidth="1"/>
    <col min="8706" max="8706" width="2.5" style="960" customWidth="1"/>
    <col min="8707" max="8707" width="4.5" style="960" customWidth="1"/>
    <col min="8708" max="8708" width="8.5" style="960" customWidth="1"/>
    <col min="8709" max="8711" width="10.5" style="960" customWidth="1"/>
    <col min="8712" max="8712" width="15.5" style="960" customWidth="1"/>
    <col min="8713" max="8713" width="10.5" style="960" customWidth="1"/>
    <col min="8714" max="8714" width="13.5" style="960" customWidth="1"/>
    <col min="8715" max="8715" width="12.5" style="960" customWidth="1"/>
    <col min="8716" max="8716" width="2.125" style="960" customWidth="1"/>
    <col min="8717" max="8960" width="9" style="960"/>
    <col min="8961" max="8961" width="1.5" style="960" customWidth="1"/>
    <col min="8962" max="8962" width="2.5" style="960" customWidth="1"/>
    <col min="8963" max="8963" width="4.5" style="960" customWidth="1"/>
    <col min="8964" max="8964" width="8.5" style="960" customWidth="1"/>
    <col min="8965" max="8967" width="10.5" style="960" customWidth="1"/>
    <col min="8968" max="8968" width="15.5" style="960" customWidth="1"/>
    <col min="8969" max="8969" width="10.5" style="960" customWidth="1"/>
    <col min="8970" max="8970" width="13.5" style="960" customWidth="1"/>
    <col min="8971" max="8971" width="12.5" style="960" customWidth="1"/>
    <col min="8972" max="8972" width="2.125" style="960" customWidth="1"/>
    <col min="8973" max="9216" width="9" style="960"/>
    <col min="9217" max="9217" width="1.5" style="960" customWidth="1"/>
    <col min="9218" max="9218" width="2.5" style="960" customWidth="1"/>
    <col min="9219" max="9219" width="4.5" style="960" customWidth="1"/>
    <col min="9220" max="9220" width="8.5" style="960" customWidth="1"/>
    <col min="9221" max="9223" width="10.5" style="960" customWidth="1"/>
    <col min="9224" max="9224" width="15.5" style="960" customWidth="1"/>
    <col min="9225" max="9225" width="10.5" style="960" customWidth="1"/>
    <col min="9226" max="9226" width="13.5" style="960" customWidth="1"/>
    <col min="9227" max="9227" width="12.5" style="960" customWidth="1"/>
    <col min="9228" max="9228" width="2.125" style="960" customWidth="1"/>
    <col min="9229" max="9472" width="9" style="960"/>
    <col min="9473" max="9473" width="1.5" style="960" customWidth="1"/>
    <col min="9474" max="9474" width="2.5" style="960" customWidth="1"/>
    <col min="9475" max="9475" width="4.5" style="960" customWidth="1"/>
    <col min="9476" max="9476" width="8.5" style="960" customWidth="1"/>
    <col min="9477" max="9479" width="10.5" style="960" customWidth="1"/>
    <col min="9480" max="9480" width="15.5" style="960" customWidth="1"/>
    <col min="9481" max="9481" width="10.5" style="960" customWidth="1"/>
    <col min="9482" max="9482" width="13.5" style="960" customWidth="1"/>
    <col min="9483" max="9483" width="12.5" style="960" customWidth="1"/>
    <col min="9484" max="9484" width="2.125" style="960" customWidth="1"/>
    <col min="9485" max="9728" width="9" style="960"/>
    <col min="9729" max="9729" width="1.5" style="960" customWidth="1"/>
    <col min="9730" max="9730" width="2.5" style="960" customWidth="1"/>
    <col min="9731" max="9731" width="4.5" style="960" customWidth="1"/>
    <col min="9732" max="9732" width="8.5" style="960" customWidth="1"/>
    <col min="9733" max="9735" width="10.5" style="960" customWidth="1"/>
    <col min="9736" max="9736" width="15.5" style="960" customWidth="1"/>
    <col min="9737" max="9737" width="10.5" style="960" customWidth="1"/>
    <col min="9738" max="9738" width="13.5" style="960" customWidth="1"/>
    <col min="9739" max="9739" width="12.5" style="960" customWidth="1"/>
    <col min="9740" max="9740" width="2.125" style="960" customWidth="1"/>
    <col min="9741" max="9984" width="9" style="960"/>
    <col min="9985" max="9985" width="1.5" style="960" customWidth="1"/>
    <col min="9986" max="9986" width="2.5" style="960" customWidth="1"/>
    <col min="9987" max="9987" width="4.5" style="960" customWidth="1"/>
    <col min="9988" max="9988" width="8.5" style="960" customWidth="1"/>
    <col min="9989" max="9991" width="10.5" style="960" customWidth="1"/>
    <col min="9992" max="9992" width="15.5" style="960" customWidth="1"/>
    <col min="9993" max="9993" width="10.5" style="960" customWidth="1"/>
    <col min="9994" max="9994" width="13.5" style="960" customWidth="1"/>
    <col min="9995" max="9995" width="12.5" style="960" customWidth="1"/>
    <col min="9996" max="9996" width="2.125" style="960" customWidth="1"/>
    <col min="9997" max="10240" width="9" style="960"/>
    <col min="10241" max="10241" width="1.5" style="960" customWidth="1"/>
    <col min="10242" max="10242" width="2.5" style="960" customWidth="1"/>
    <col min="10243" max="10243" width="4.5" style="960" customWidth="1"/>
    <col min="10244" max="10244" width="8.5" style="960" customWidth="1"/>
    <col min="10245" max="10247" width="10.5" style="960" customWidth="1"/>
    <col min="10248" max="10248" width="15.5" style="960" customWidth="1"/>
    <col min="10249" max="10249" width="10.5" style="960" customWidth="1"/>
    <col min="10250" max="10250" width="13.5" style="960" customWidth="1"/>
    <col min="10251" max="10251" width="12.5" style="960" customWidth="1"/>
    <col min="10252" max="10252" width="2.125" style="960" customWidth="1"/>
    <col min="10253" max="10496" width="9" style="960"/>
    <col min="10497" max="10497" width="1.5" style="960" customWidth="1"/>
    <col min="10498" max="10498" width="2.5" style="960" customWidth="1"/>
    <col min="10499" max="10499" width="4.5" style="960" customWidth="1"/>
    <col min="10500" max="10500" width="8.5" style="960" customWidth="1"/>
    <col min="10501" max="10503" width="10.5" style="960" customWidth="1"/>
    <col min="10504" max="10504" width="15.5" style="960" customWidth="1"/>
    <col min="10505" max="10505" width="10.5" style="960" customWidth="1"/>
    <col min="10506" max="10506" width="13.5" style="960" customWidth="1"/>
    <col min="10507" max="10507" width="12.5" style="960" customWidth="1"/>
    <col min="10508" max="10508" width="2.125" style="960" customWidth="1"/>
    <col min="10509" max="10752" width="9" style="960"/>
    <col min="10753" max="10753" width="1.5" style="960" customWidth="1"/>
    <col min="10754" max="10754" width="2.5" style="960" customWidth="1"/>
    <col min="10755" max="10755" width="4.5" style="960" customWidth="1"/>
    <col min="10756" max="10756" width="8.5" style="960" customWidth="1"/>
    <col min="10757" max="10759" width="10.5" style="960" customWidth="1"/>
    <col min="10760" max="10760" width="15.5" style="960" customWidth="1"/>
    <col min="10761" max="10761" width="10.5" style="960" customWidth="1"/>
    <col min="10762" max="10762" width="13.5" style="960" customWidth="1"/>
    <col min="10763" max="10763" width="12.5" style="960" customWidth="1"/>
    <col min="10764" max="10764" width="2.125" style="960" customWidth="1"/>
    <col min="10765" max="11008" width="9" style="960"/>
    <col min="11009" max="11009" width="1.5" style="960" customWidth="1"/>
    <col min="11010" max="11010" width="2.5" style="960" customWidth="1"/>
    <col min="11011" max="11011" width="4.5" style="960" customWidth="1"/>
    <col min="11012" max="11012" width="8.5" style="960" customWidth="1"/>
    <col min="11013" max="11015" width="10.5" style="960" customWidth="1"/>
    <col min="11016" max="11016" width="15.5" style="960" customWidth="1"/>
    <col min="11017" max="11017" width="10.5" style="960" customWidth="1"/>
    <col min="11018" max="11018" width="13.5" style="960" customWidth="1"/>
    <col min="11019" max="11019" width="12.5" style="960" customWidth="1"/>
    <col min="11020" max="11020" width="2.125" style="960" customWidth="1"/>
    <col min="11021" max="11264" width="9" style="960"/>
    <col min="11265" max="11265" width="1.5" style="960" customWidth="1"/>
    <col min="11266" max="11266" width="2.5" style="960" customWidth="1"/>
    <col min="11267" max="11267" width="4.5" style="960" customWidth="1"/>
    <col min="11268" max="11268" width="8.5" style="960" customWidth="1"/>
    <col min="11269" max="11271" width="10.5" style="960" customWidth="1"/>
    <col min="11272" max="11272" width="15.5" style="960" customWidth="1"/>
    <col min="11273" max="11273" width="10.5" style="960" customWidth="1"/>
    <col min="11274" max="11274" width="13.5" style="960" customWidth="1"/>
    <col min="11275" max="11275" width="12.5" style="960" customWidth="1"/>
    <col min="11276" max="11276" width="2.125" style="960" customWidth="1"/>
    <col min="11277" max="11520" width="9" style="960"/>
    <col min="11521" max="11521" width="1.5" style="960" customWidth="1"/>
    <col min="11522" max="11522" width="2.5" style="960" customWidth="1"/>
    <col min="11523" max="11523" width="4.5" style="960" customWidth="1"/>
    <col min="11524" max="11524" width="8.5" style="960" customWidth="1"/>
    <col min="11525" max="11527" width="10.5" style="960" customWidth="1"/>
    <col min="11528" max="11528" width="15.5" style="960" customWidth="1"/>
    <col min="11529" max="11529" width="10.5" style="960" customWidth="1"/>
    <col min="11530" max="11530" width="13.5" style="960" customWidth="1"/>
    <col min="11531" max="11531" width="12.5" style="960" customWidth="1"/>
    <col min="11532" max="11532" width="2.125" style="960" customWidth="1"/>
    <col min="11533" max="11776" width="9" style="960"/>
    <col min="11777" max="11777" width="1.5" style="960" customWidth="1"/>
    <col min="11778" max="11778" width="2.5" style="960" customWidth="1"/>
    <col min="11779" max="11779" width="4.5" style="960" customWidth="1"/>
    <col min="11780" max="11780" width="8.5" style="960" customWidth="1"/>
    <col min="11781" max="11783" width="10.5" style="960" customWidth="1"/>
    <col min="11784" max="11784" width="15.5" style="960" customWidth="1"/>
    <col min="11785" max="11785" width="10.5" style="960" customWidth="1"/>
    <col min="11786" max="11786" width="13.5" style="960" customWidth="1"/>
    <col min="11787" max="11787" width="12.5" style="960" customWidth="1"/>
    <col min="11788" max="11788" width="2.125" style="960" customWidth="1"/>
    <col min="11789" max="12032" width="9" style="960"/>
    <col min="12033" max="12033" width="1.5" style="960" customWidth="1"/>
    <col min="12034" max="12034" width="2.5" style="960" customWidth="1"/>
    <col min="12035" max="12035" width="4.5" style="960" customWidth="1"/>
    <col min="12036" max="12036" width="8.5" style="960" customWidth="1"/>
    <col min="12037" max="12039" width="10.5" style="960" customWidth="1"/>
    <col min="12040" max="12040" width="15.5" style="960" customWidth="1"/>
    <col min="12041" max="12041" width="10.5" style="960" customWidth="1"/>
    <col min="12042" max="12042" width="13.5" style="960" customWidth="1"/>
    <col min="12043" max="12043" width="12.5" style="960" customWidth="1"/>
    <col min="12044" max="12044" width="2.125" style="960" customWidth="1"/>
    <col min="12045" max="12288" width="9" style="960"/>
    <col min="12289" max="12289" width="1.5" style="960" customWidth="1"/>
    <col min="12290" max="12290" width="2.5" style="960" customWidth="1"/>
    <col min="12291" max="12291" width="4.5" style="960" customWidth="1"/>
    <col min="12292" max="12292" width="8.5" style="960" customWidth="1"/>
    <col min="12293" max="12295" width="10.5" style="960" customWidth="1"/>
    <col min="12296" max="12296" width="15.5" style="960" customWidth="1"/>
    <col min="12297" max="12297" width="10.5" style="960" customWidth="1"/>
    <col min="12298" max="12298" width="13.5" style="960" customWidth="1"/>
    <col min="12299" max="12299" width="12.5" style="960" customWidth="1"/>
    <col min="12300" max="12300" width="2.125" style="960" customWidth="1"/>
    <col min="12301" max="12544" width="9" style="960"/>
    <col min="12545" max="12545" width="1.5" style="960" customWidth="1"/>
    <col min="12546" max="12546" width="2.5" style="960" customWidth="1"/>
    <col min="12547" max="12547" width="4.5" style="960" customWidth="1"/>
    <col min="12548" max="12548" width="8.5" style="960" customWidth="1"/>
    <col min="12549" max="12551" width="10.5" style="960" customWidth="1"/>
    <col min="12552" max="12552" width="15.5" style="960" customWidth="1"/>
    <col min="12553" max="12553" width="10.5" style="960" customWidth="1"/>
    <col min="12554" max="12554" width="13.5" style="960" customWidth="1"/>
    <col min="12555" max="12555" width="12.5" style="960" customWidth="1"/>
    <col min="12556" max="12556" width="2.125" style="960" customWidth="1"/>
    <col min="12557" max="12800" width="9" style="960"/>
    <col min="12801" max="12801" width="1.5" style="960" customWidth="1"/>
    <col min="12802" max="12802" width="2.5" style="960" customWidth="1"/>
    <col min="12803" max="12803" width="4.5" style="960" customWidth="1"/>
    <col min="12804" max="12804" width="8.5" style="960" customWidth="1"/>
    <col min="12805" max="12807" width="10.5" style="960" customWidth="1"/>
    <col min="12808" max="12808" width="15.5" style="960" customWidth="1"/>
    <col min="12809" max="12809" width="10.5" style="960" customWidth="1"/>
    <col min="12810" max="12810" width="13.5" style="960" customWidth="1"/>
    <col min="12811" max="12811" width="12.5" style="960" customWidth="1"/>
    <col min="12812" max="12812" width="2.125" style="960" customWidth="1"/>
    <col min="12813" max="13056" width="9" style="960"/>
    <col min="13057" max="13057" width="1.5" style="960" customWidth="1"/>
    <col min="13058" max="13058" width="2.5" style="960" customWidth="1"/>
    <col min="13059" max="13059" width="4.5" style="960" customWidth="1"/>
    <col min="13060" max="13060" width="8.5" style="960" customWidth="1"/>
    <col min="13061" max="13063" width="10.5" style="960" customWidth="1"/>
    <col min="13064" max="13064" width="15.5" style="960" customWidth="1"/>
    <col min="13065" max="13065" width="10.5" style="960" customWidth="1"/>
    <col min="13066" max="13066" width="13.5" style="960" customWidth="1"/>
    <col min="13067" max="13067" width="12.5" style="960" customWidth="1"/>
    <col min="13068" max="13068" width="2.125" style="960" customWidth="1"/>
    <col min="13069" max="13312" width="9" style="960"/>
    <col min="13313" max="13313" width="1.5" style="960" customWidth="1"/>
    <col min="13314" max="13314" width="2.5" style="960" customWidth="1"/>
    <col min="13315" max="13315" width="4.5" style="960" customWidth="1"/>
    <col min="13316" max="13316" width="8.5" style="960" customWidth="1"/>
    <col min="13317" max="13319" width="10.5" style="960" customWidth="1"/>
    <col min="13320" max="13320" width="15.5" style="960" customWidth="1"/>
    <col min="13321" max="13321" width="10.5" style="960" customWidth="1"/>
    <col min="13322" max="13322" width="13.5" style="960" customWidth="1"/>
    <col min="13323" max="13323" width="12.5" style="960" customWidth="1"/>
    <col min="13324" max="13324" width="2.125" style="960" customWidth="1"/>
    <col min="13325" max="13568" width="9" style="960"/>
    <col min="13569" max="13569" width="1.5" style="960" customWidth="1"/>
    <col min="13570" max="13570" width="2.5" style="960" customWidth="1"/>
    <col min="13571" max="13571" width="4.5" style="960" customWidth="1"/>
    <col min="13572" max="13572" width="8.5" style="960" customWidth="1"/>
    <col min="13573" max="13575" width="10.5" style="960" customWidth="1"/>
    <col min="13576" max="13576" width="15.5" style="960" customWidth="1"/>
    <col min="13577" max="13577" width="10.5" style="960" customWidth="1"/>
    <col min="13578" max="13578" width="13.5" style="960" customWidth="1"/>
    <col min="13579" max="13579" width="12.5" style="960" customWidth="1"/>
    <col min="13580" max="13580" width="2.125" style="960" customWidth="1"/>
    <col min="13581" max="13824" width="9" style="960"/>
    <col min="13825" max="13825" width="1.5" style="960" customWidth="1"/>
    <col min="13826" max="13826" width="2.5" style="960" customWidth="1"/>
    <col min="13827" max="13827" width="4.5" style="960" customWidth="1"/>
    <col min="13828" max="13828" width="8.5" style="960" customWidth="1"/>
    <col min="13829" max="13831" width="10.5" style="960" customWidth="1"/>
    <col min="13832" max="13832" width="15.5" style="960" customWidth="1"/>
    <col min="13833" max="13833" width="10.5" style="960" customWidth="1"/>
    <col min="13834" max="13834" width="13.5" style="960" customWidth="1"/>
    <col min="13835" max="13835" width="12.5" style="960" customWidth="1"/>
    <col min="13836" max="13836" width="2.125" style="960" customWidth="1"/>
    <col min="13837" max="14080" width="9" style="960"/>
    <col min="14081" max="14081" width="1.5" style="960" customWidth="1"/>
    <col min="14082" max="14082" width="2.5" style="960" customWidth="1"/>
    <col min="14083" max="14083" width="4.5" style="960" customWidth="1"/>
    <col min="14084" max="14084" width="8.5" style="960" customWidth="1"/>
    <col min="14085" max="14087" width="10.5" style="960" customWidth="1"/>
    <col min="14088" max="14088" width="15.5" style="960" customWidth="1"/>
    <col min="14089" max="14089" width="10.5" style="960" customWidth="1"/>
    <col min="14090" max="14090" width="13.5" style="960" customWidth="1"/>
    <col min="14091" max="14091" width="12.5" style="960" customWidth="1"/>
    <col min="14092" max="14092" width="2.125" style="960" customWidth="1"/>
    <col min="14093" max="14336" width="9" style="960"/>
    <col min="14337" max="14337" width="1.5" style="960" customWidth="1"/>
    <col min="14338" max="14338" width="2.5" style="960" customWidth="1"/>
    <col min="14339" max="14339" width="4.5" style="960" customWidth="1"/>
    <col min="14340" max="14340" width="8.5" style="960" customWidth="1"/>
    <col min="14341" max="14343" width="10.5" style="960" customWidth="1"/>
    <col min="14344" max="14344" width="15.5" style="960" customWidth="1"/>
    <col min="14345" max="14345" width="10.5" style="960" customWidth="1"/>
    <col min="14346" max="14346" width="13.5" style="960" customWidth="1"/>
    <col min="14347" max="14347" width="12.5" style="960" customWidth="1"/>
    <col min="14348" max="14348" width="2.125" style="960" customWidth="1"/>
    <col min="14349" max="14592" width="9" style="960"/>
    <col min="14593" max="14593" width="1.5" style="960" customWidth="1"/>
    <col min="14594" max="14594" width="2.5" style="960" customWidth="1"/>
    <col min="14595" max="14595" width="4.5" style="960" customWidth="1"/>
    <col min="14596" max="14596" width="8.5" style="960" customWidth="1"/>
    <col min="14597" max="14599" width="10.5" style="960" customWidth="1"/>
    <col min="14600" max="14600" width="15.5" style="960" customWidth="1"/>
    <col min="14601" max="14601" width="10.5" style="960" customWidth="1"/>
    <col min="14602" max="14602" width="13.5" style="960" customWidth="1"/>
    <col min="14603" max="14603" width="12.5" style="960" customWidth="1"/>
    <col min="14604" max="14604" width="2.125" style="960" customWidth="1"/>
    <col min="14605" max="14848" width="9" style="960"/>
    <col min="14849" max="14849" width="1.5" style="960" customWidth="1"/>
    <col min="14850" max="14850" width="2.5" style="960" customWidth="1"/>
    <col min="14851" max="14851" width="4.5" style="960" customWidth="1"/>
    <col min="14852" max="14852" width="8.5" style="960" customWidth="1"/>
    <col min="14853" max="14855" width="10.5" style="960" customWidth="1"/>
    <col min="14856" max="14856" width="15.5" style="960" customWidth="1"/>
    <col min="14857" max="14857" width="10.5" style="960" customWidth="1"/>
    <col min="14858" max="14858" width="13.5" style="960" customWidth="1"/>
    <col min="14859" max="14859" width="12.5" style="960" customWidth="1"/>
    <col min="14860" max="14860" width="2.125" style="960" customWidth="1"/>
    <col min="14861" max="15104" width="9" style="960"/>
    <col min="15105" max="15105" width="1.5" style="960" customWidth="1"/>
    <col min="15106" max="15106" width="2.5" style="960" customWidth="1"/>
    <col min="15107" max="15107" width="4.5" style="960" customWidth="1"/>
    <col min="15108" max="15108" width="8.5" style="960" customWidth="1"/>
    <col min="15109" max="15111" width="10.5" style="960" customWidth="1"/>
    <col min="15112" max="15112" width="15.5" style="960" customWidth="1"/>
    <col min="15113" max="15113" width="10.5" style="960" customWidth="1"/>
    <col min="15114" max="15114" width="13.5" style="960" customWidth="1"/>
    <col min="15115" max="15115" width="12.5" style="960" customWidth="1"/>
    <col min="15116" max="15116" width="2.125" style="960" customWidth="1"/>
    <col min="15117" max="15360" width="9" style="960"/>
    <col min="15361" max="15361" width="1.5" style="960" customWidth="1"/>
    <col min="15362" max="15362" width="2.5" style="960" customWidth="1"/>
    <col min="15363" max="15363" width="4.5" style="960" customWidth="1"/>
    <col min="15364" max="15364" width="8.5" style="960" customWidth="1"/>
    <col min="15365" max="15367" width="10.5" style="960" customWidth="1"/>
    <col min="15368" max="15368" width="15.5" style="960" customWidth="1"/>
    <col min="15369" max="15369" width="10.5" style="960" customWidth="1"/>
    <col min="15370" max="15370" width="13.5" style="960" customWidth="1"/>
    <col min="15371" max="15371" width="12.5" style="960" customWidth="1"/>
    <col min="15372" max="15372" width="2.125" style="960" customWidth="1"/>
    <col min="15373" max="15616" width="9" style="960"/>
    <col min="15617" max="15617" width="1.5" style="960" customWidth="1"/>
    <col min="15618" max="15618" width="2.5" style="960" customWidth="1"/>
    <col min="15619" max="15619" width="4.5" style="960" customWidth="1"/>
    <col min="15620" max="15620" width="8.5" style="960" customWidth="1"/>
    <col min="15621" max="15623" width="10.5" style="960" customWidth="1"/>
    <col min="15624" max="15624" width="15.5" style="960" customWidth="1"/>
    <col min="15625" max="15625" width="10.5" style="960" customWidth="1"/>
    <col min="15626" max="15626" width="13.5" style="960" customWidth="1"/>
    <col min="15627" max="15627" width="12.5" style="960" customWidth="1"/>
    <col min="15628" max="15628" width="2.125" style="960" customWidth="1"/>
    <col min="15629" max="15872" width="9" style="960"/>
    <col min="15873" max="15873" width="1.5" style="960" customWidth="1"/>
    <col min="15874" max="15874" width="2.5" style="960" customWidth="1"/>
    <col min="15875" max="15875" width="4.5" style="960" customWidth="1"/>
    <col min="15876" max="15876" width="8.5" style="960" customWidth="1"/>
    <col min="15877" max="15879" width="10.5" style="960" customWidth="1"/>
    <col min="15880" max="15880" width="15.5" style="960" customWidth="1"/>
    <col min="15881" max="15881" width="10.5" style="960" customWidth="1"/>
    <col min="15882" max="15882" width="13.5" style="960" customWidth="1"/>
    <col min="15883" max="15883" width="12.5" style="960" customWidth="1"/>
    <col min="15884" max="15884" width="2.125" style="960" customWidth="1"/>
    <col min="15885" max="16128" width="9" style="960"/>
    <col min="16129" max="16129" width="1.5" style="960" customWidth="1"/>
    <col min="16130" max="16130" width="2.5" style="960" customWidth="1"/>
    <col min="16131" max="16131" width="4.5" style="960" customWidth="1"/>
    <col min="16132" max="16132" width="8.5" style="960" customWidth="1"/>
    <col min="16133" max="16135" width="10.5" style="960" customWidth="1"/>
    <col min="16136" max="16136" width="15.5" style="960" customWidth="1"/>
    <col min="16137" max="16137" width="10.5" style="960" customWidth="1"/>
    <col min="16138" max="16138" width="13.5" style="960" customWidth="1"/>
    <col min="16139" max="16139" width="12.5" style="960" customWidth="1"/>
    <col min="16140" max="16140" width="2.125" style="960" customWidth="1"/>
    <col min="16141" max="16384" width="9" style="960"/>
  </cols>
  <sheetData>
    <row r="1" ht="15.75" spans="1:11">
      <c r="A1" s="3" t="s">
        <v>880</v>
      </c>
      <c r="B1" s="3"/>
      <c r="C1" s="3"/>
      <c r="D1" s="3"/>
      <c r="E1" s="3"/>
      <c r="F1" s="3"/>
      <c r="G1" s="3"/>
      <c r="H1" s="3"/>
      <c r="I1" s="3"/>
      <c r="J1" s="3"/>
      <c r="K1" s="3"/>
    </row>
    <row r="2" s="958" customFormat="1" ht="56.1" customHeight="1" spans="2:11">
      <c r="B2" s="961"/>
      <c r="C2" s="962" t="str">
        <f>IF(目录!G2="中文",对照!E2,IF(目录!G2="English",对照!F2,对照!E2))</f>
        <v>模具验证测试总结报告</v>
      </c>
      <c r="D2" s="962"/>
      <c r="E2" s="962"/>
      <c r="F2" s="962"/>
      <c r="G2" s="962"/>
      <c r="H2" s="962"/>
      <c r="I2" s="962"/>
      <c r="J2" s="962"/>
      <c r="K2" s="962"/>
    </row>
    <row r="3" s="959" customFormat="1" ht="8.1" customHeight="1" spans="2:11">
      <c r="B3" s="963"/>
      <c r="C3" s="964"/>
      <c r="D3" s="965"/>
      <c r="E3" s="965"/>
      <c r="F3" s="965"/>
      <c r="G3" s="965"/>
      <c r="H3" s="965"/>
      <c r="I3" s="965"/>
      <c r="J3" s="965"/>
      <c r="K3" s="965"/>
    </row>
    <row r="4" ht="32.1" customHeight="1" spans="2:11">
      <c r="B4" s="965"/>
      <c r="C4" s="966" t="str">
        <f>IF(目录!G2="中文",对照!E3,IF(目录!G2="English",对照!F3,对照!E3))</f>
        <v>模号
Mold Number</v>
      </c>
      <c r="D4" s="967"/>
      <c r="E4" s="968"/>
      <c r="F4" s="966" t="str">
        <f>IF(目录!G2="中文",对照!E4,IF(目录!G2="English",对照!F4,对照!E4))</f>
        <v>测试时间
Test Date</v>
      </c>
      <c r="G4" s="969"/>
      <c r="H4" s="966" t="str">
        <f>IF(目录!G2="中文",对照!E5,IF(目录!G2="English",对照!F5,对照!E5))</f>
        <v>模具工程师
Molding Engineer</v>
      </c>
      <c r="I4" s="968"/>
      <c r="J4" s="966" t="str">
        <f>IF(目录!G2="中文",对照!E6,IF(目录!G2="English",对照!F6,对照!E6))</f>
        <v>项目工程师
Project Engineer</v>
      </c>
      <c r="K4" s="968"/>
    </row>
    <row r="5" ht="8.1" customHeight="1" spans="2:11">
      <c r="B5" s="965"/>
      <c r="C5" s="970"/>
      <c r="D5" s="971"/>
      <c r="E5" s="971"/>
      <c r="F5" s="970"/>
      <c r="G5" s="971"/>
      <c r="H5" s="970"/>
      <c r="I5" s="971"/>
      <c r="J5" s="970"/>
      <c r="K5" s="1004"/>
    </row>
    <row r="6" ht="24" customHeight="1" spans="2:11">
      <c r="B6" s="965"/>
      <c r="C6" s="972" t="str">
        <f>IF(目录!G2="中文",对照!E7,IF(目录!G2="English",对照!F7,对照!E7))</f>
        <v>A. 模具问题点描述/Mold issue:</v>
      </c>
      <c r="D6" s="965"/>
      <c r="E6" s="965"/>
      <c r="F6" s="965"/>
      <c r="G6" s="965"/>
      <c r="H6" s="965"/>
      <c r="I6" s="988"/>
      <c r="J6" s="988"/>
      <c r="K6" s="965"/>
    </row>
    <row r="7" ht="24" customHeight="1" spans="2:11">
      <c r="B7" s="965"/>
      <c r="C7" s="973"/>
      <c r="D7" s="974"/>
      <c r="E7" s="974"/>
      <c r="F7" s="974"/>
      <c r="G7" s="974"/>
      <c r="H7" s="974"/>
      <c r="I7" s="974"/>
      <c r="J7" s="974"/>
      <c r="K7" s="1005"/>
    </row>
    <row r="8" ht="24" customHeight="1" spans="2:11">
      <c r="B8" s="965"/>
      <c r="C8" s="975"/>
      <c r="D8" s="976"/>
      <c r="E8" s="976"/>
      <c r="F8" s="976"/>
      <c r="G8" s="976"/>
      <c r="H8" s="976"/>
      <c r="I8" s="976"/>
      <c r="J8" s="976"/>
      <c r="K8" s="1006"/>
    </row>
    <row r="9" ht="24" customHeight="1" spans="2:11">
      <c r="B9" s="965"/>
      <c r="C9" s="975"/>
      <c r="D9" s="976"/>
      <c r="E9" s="976"/>
      <c r="F9" s="976"/>
      <c r="G9" s="976"/>
      <c r="H9" s="976"/>
      <c r="I9" s="976"/>
      <c r="J9" s="976"/>
      <c r="K9" s="1006"/>
    </row>
    <row r="10" ht="24" customHeight="1" spans="2:11">
      <c r="B10" s="965"/>
      <c r="C10" s="975"/>
      <c r="D10" s="976"/>
      <c r="E10" s="976"/>
      <c r="F10" s="976"/>
      <c r="G10" s="976"/>
      <c r="H10" s="976"/>
      <c r="I10" s="976"/>
      <c r="J10" s="976"/>
      <c r="K10" s="1006"/>
    </row>
    <row r="11" ht="24" customHeight="1" spans="2:11">
      <c r="B11" s="965"/>
      <c r="C11" s="977"/>
      <c r="D11" s="978"/>
      <c r="E11" s="978"/>
      <c r="F11" s="978"/>
      <c r="G11" s="978"/>
      <c r="H11" s="978"/>
      <c r="I11" s="978"/>
      <c r="J11" s="978"/>
      <c r="K11" s="1007"/>
    </row>
    <row r="12" ht="8.1" customHeight="1" spans="2:11">
      <c r="B12" s="965"/>
      <c r="C12" s="976"/>
      <c r="D12" s="976"/>
      <c r="E12" s="976"/>
      <c r="F12" s="976"/>
      <c r="G12" s="976"/>
      <c r="H12" s="976"/>
      <c r="I12" s="976"/>
      <c r="J12" s="976"/>
      <c r="K12" s="976"/>
    </row>
    <row r="13" ht="32.1" customHeight="1" spans="3:12">
      <c r="C13" s="979" t="str">
        <f>IF(目录!G2="中文",对照!E8,IF(目录!G2="English",对照!F8,对照!E8))</f>
        <v>模具判定:
Result of mold:</v>
      </c>
      <c r="D13" s="979"/>
      <c r="E13" s="980"/>
      <c r="F13" s="981"/>
      <c r="G13" s="981"/>
      <c r="H13" s="982"/>
      <c r="I13" s="1008"/>
      <c r="J13" s="1009"/>
      <c r="K13" s="1009"/>
      <c r="L13" s="1010"/>
    </row>
    <row r="14" ht="24" customHeight="1" spans="2:11">
      <c r="B14" s="965"/>
      <c r="C14" s="983" t="str">
        <f>IF(目录!G2="中文",对照!E9,IF(目录!G2="English",对照!F9,对照!E9))</f>
        <v>B. 产品问题点描述/Part issue：</v>
      </c>
      <c r="D14" s="965"/>
      <c r="E14" s="965"/>
      <c r="F14" s="965"/>
      <c r="G14" s="965"/>
      <c r="H14" s="965"/>
      <c r="I14" s="988"/>
      <c r="J14" s="988"/>
      <c r="K14" s="965"/>
    </row>
    <row r="15" ht="24" customHeight="1" spans="2:11">
      <c r="B15" s="965"/>
      <c r="C15" s="973"/>
      <c r="D15" s="974"/>
      <c r="E15" s="974"/>
      <c r="F15" s="974"/>
      <c r="G15" s="974"/>
      <c r="H15" s="974"/>
      <c r="I15" s="974"/>
      <c r="J15" s="974"/>
      <c r="K15" s="1005"/>
    </row>
    <row r="16" ht="24" customHeight="1" spans="2:11">
      <c r="B16" s="965"/>
      <c r="C16" s="975"/>
      <c r="D16" s="976"/>
      <c r="E16" s="976"/>
      <c r="F16" s="976"/>
      <c r="G16" s="976"/>
      <c r="H16" s="976"/>
      <c r="I16" s="976"/>
      <c r="J16" s="976"/>
      <c r="K16" s="1006"/>
    </row>
    <row r="17" ht="24" customHeight="1" spans="2:11">
      <c r="B17" s="965"/>
      <c r="C17" s="975"/>
      <c r="D17" s="976"/>
      <c r="E17" s="976"/>
      <c r="F17" s="976"/>
      <c r="G17" s="976"/>
      <c r="H17" s="976"/>
      <c r="I17" s="976"/>
      <c r="J17" s="976"/>
      <c r="K17" s="1006"/>
    </row>
    <row r="18" ht="24" customHeight="1" spans="2:11">
      <c r="B18" s="965"/>
      <c r="C18" s="975"/>
      <c r="D18" s="976"/>
      <c r="E18" s="976"/>
      <c r="F18" s="976"/>
      <c r="G18" s="976"/>
      <c r="H18" s="976"/>
      <c r="I18" s="976"/>
      <c r="J18" s="976"/>
      <c r="K18" s="1006"/>
    </row>
    <row r="19" ht="24" customHeight="1" spans="2:11">
      <c r="B19" s="965"/>
      <c r="C19" s="977"/>
      <c r="D19" s="978"/>
      <c r="E19" s="978"/>
      <c r="F19" s="978"/>
      <c r="G19" s="978"/>
      <c r="H19" s="978"/>
      <c r="I19" s="978"/>
      <c r="J19" s="978"/>
      <c r="K19" s="1007"/>
    </row>
    <row r="20" ht="8.1" customHeight="1" spans="2:11">
      <c r="B20" s="965"/>
      <c r="C20" s="976"/>
      <c r="D20" s="976"/>
      <c r="E20" s="976"/>
      <c r="F20" s="976"/>
      <c r="G20" s="976"/>
      <c r="H20" s="976"/>
      <c r="I20" s="976"/>
      <c r="J20" s="976"/>
      <c r="K20" s="976"/>
    </row>
    <row r="21" ht="32.1" customHeight="1" spans="3:12">
      <c r="C21" s="979" t="str">
        <f>IF(目录!G2="中文",对照!E10,IF(目录!G2="English",对照!F10,对照!E10))</f>
        <v>塑胶产品判定:
Result of part:</v>
      </c>
      <c r="D21" s="979"/>
      <c r="E21" s="980"/>
      <c r="F21" s="984"/>
      <c r="G21" s="984"/>
      <c r="H21" s="985"/>
      <c r="I21" s="1008"/>
      <c r="J21" s="1011"/>
      <c r="K21" s="1011"/>
      <c r="L21" s="1012"/>
    </row>
    <row r="22" ht="24" customHeight="1" spans="2:11">
      <c r="B22" s="965"/>
      <c r="C22" s="983" t="str">
        <f>IF(目录!G2="中文",对照!E11,IF(目录!G2="English",对照!F11,对照!E11))</f>
        <v>C.  改善措施/Corrective or Improvement action</v>
      </c>
      <c r="D22" s="965"/>
      <c r="E22" s="965"/>
      <c r="F22" s="965"/>
      <c r="G22" s="965"/>
      <c r="H22" s="965"/>
      <c r="I22" s="988"/>
      <c r="J22" s="988"/>
      <c r="K22" s="965"/>
    </row>
    <row r="23" ht="24" customHeight="1" spans="2:11">
      <c r="B23" s="965"/>
      <c r="C23" s="973"/>
      <c r="D23" s="974"/>
      <c r="E23" s="974"/>
      <c r="F23" s="974"/>
      <c r="G23" s="974"/>
      <c r="H23" s="974"/>
      <c r="I23" s="974"/>
      <c r="J23" s="974"/>
      <c r="K23" s="1005"/>
    </row>
    <row r="24" ht="24" customHeight="1" spans="2:11">
      <c r="B24" s="965"/>
      <c r="C24" s="975"/>
      <c r="D24" s="976"/>
      <c r="E24" s="976"/>
      <c r="F24" s="976"/>
      <c r="G24" s="976"/>
      <c r="H24" s="976"/>
      <c r="I24" s="976"/>
      <c r="J24" s="976"/>
      <c r="K24" s="1006"/>
    </row>
    <row r="25" ht="24" customHeight="1" spans="2:11">
      <c r="B25" s="965"/>
      <c r="C25" s="975"/>
      <c r="D25" s="976"/>
      <c r="E25" s="976"/>
      <c r="F25" s="976"/>
      <c r="G25" s="976"/>
      <c r="H25" s="976"/>
      <c r="I25" s="976"/>
      <c r="J25" s="976"/>
      <c r="K25" s="1006"/>
    </row>
    <row r="26" ht="24" customHeight="1" spans="2:11">
      <c r="B26" s="965"/>
      <c r="C26" s="975"/>
      <c r="D26" s="976"/>
      <c r="E26" s="976"/>
      <c r="F26" s="976"/>
      <c r="G26" s="976"/>
      <c r="H26" s="976"/>
      <c r="I26" s="976"/>
      <c r="J26" s="976"/>
      <c r="K26" s="1006"/>
    </row>
    <row r="27" ht="24" customHeight="1" spans="2:11">
      <c r="B27" s="965"/>
      <c r="C27" s="977"/>
      <c r="D27" s="978"/>
      <c r="E27" s="978"/>
      <c r="F27" s="978"/>
      <c r="G27" s="978"/>
      <c r="H27" s="978"/>
      <c r="I27" s="978"/>
      <c r="J27" s="978"/>
      <c r="K27" s="1007"/>
    </row>
    <row r="28" ht="8.1" customHeight="1" spans="2:11">
      <c r="B28" s="965"/>
      <c r="C28" s="976"/>
      <c r="D28" s="976"/>
      <c r="E28" s="976"/>
      <c r="F28" s="976"/>
      <c r="G28" s="976"/>
      <c r="H28" s="976"/>
      <c r="I28" s="976"/>
      <c r="J28" s="976"/>
      <c r="K28" s="976"/>
    </row>
    <row r="29" ht="32.25" customHeight="1" spans="2:11">
      <c r="B29" s="965"/>
      <c r="C29" s="986" t="str">
        <f>IF(目录!G2="中文",对照!E13,IF(目录!G2="English",对照!F13,对照!E13))</f>
        <v> D.模具验证测试结果最终确认/Final Result：</v>
      </c>
      <c r="D29" s="986"/>
      <c r="E29" s="986"/>
      <c r="F29" s="986"/>
      <c r="G29" s="986"/>
      <c r="H29" s="986"/>
      <c r="I29" s="986"/>
      <c r="J29" s="986"/>
      <c r="K29" s="986"/>
    </row>
    <row r="30" ht="32.1" customHeight="1" spans="2:12">
      <c r="B30" s="987"/>
      <c r="C30" s="988"/>
      <c r="F30" s="989"/>
      <c r="G30" s="989"/>
      <c r="H30" s="990"/>
      <c r="I30" s="990"/>
      <c r="J30" s="990"/>
      <c r="K30" s="990"/>
      <c r="L30" s="1013"/>
    </row>
    <row r="31" ht="8.1" customHeight="1" spans="3:11">
      <c r="C31" s="991"/>
      <c r="D31" s="992"/>
      <c r="E31" s="992"/>
      <c r="F31" s="992"/>
      <c r="G31" s="992"/>
      <c r="H31" s="992"/>
      <c r="I31" s="992"/>
      <c r="J31" s="992"/>
      <c r="K31" s="992"/>
    </row>
    <row r="32" ht="24" customHeight="1" spans="3:11">
      <c r="C32" s="991" t="s">
        <v>881</v>
      </c>
      <c r="D32" s="993" t="str">
        <f>IF(目录!G2="中文",对照!E15,IF(目录!G2="English",对照!F15,对照!E15))</f>
        <v>1. 模具验证测试结果判定合格标准为流道浇口在修模中不需要加大，模具验证测试完成；反之就可判定不合格。</v>
      </c>
      <c r="E32" s="993"/>
      <c r="F32" s="993"/>
      <c r="G32" s="993"/>
      <c r="H32" s="993"/>
      <c r="I32" s="993"/>
      <c r="J32" s="993"/>
      <c r="K32" s="993"/>
    </row>
    <row r="33" ht="24" customHeight="1" spans="3:11">
      <c r="C33" s="994"/>
      <c r="D33" s="993" t="str">
        <f>IF(目录!G2="中文",对照!E16,IF(目录!G2="English",对照!F16,对照!E16))</f>
        <v>2.品质工程师发出此报告后，项目工程师若对表格内容有疑义的，项目工程师需及时给予书面回复。</v>
      </c>
      <c r="E33" s="993"/>
      <c r="F33" s="993"/>
      <c r="G33" s="993"/>
      <c r="H33" s="993"/>
      <c r="I33" s="993"/>
      <c r="J33" s="993"/>
      <c r="K33" s="993"/>
    </row>
    <row r="34" ht="24" customHeight="1" spans="3:11">
      <c r="C34" s="994"/>
      <c r="D34" s="993" t="str">
        <f>IF(目录!G2="中文",对照!E17,IF(目录!G2="English",对照!F17,对照!E17))</f>
        <v>3.模具工程师必须在收到此报告的3个工作日之内给出对所反映问题点的改善措施，并书面回复给品质工程师。</v>
      </c>
      <c r="E34" s="993"/>
      <c r="F34" s="993"/>
      <c r="G34" s="993"/>
      <c r="H34" s="993"/>
      <c r="I34" s="993"/>
      <c r="J34" s="993"/>
      <c r="K34" s="993"/>
    </row>
    <row r="35" ht="24" customHeight="1" spans="3:11">
      <c r="C35" s="994"/>
      <c r="D35" s="995" t="str">
        <f>IF(目录!G2="中文",对照!E18,IF(目录!G2="English",对照!F18,对照!E18))</f>
        <v>4. 模具工程师改善好模具问题点之后，必须提前通知品质工程师进行现场验证，根据模具工程师提出的改善措施进行跟踪确认。</v>
      </c>
      <c r="E35" s="995"/>
      <c r="F35" s="995"/>
      <c r="G35" s="995"/>
      <c r="H35" s="995"/>
      <c r="I35" s="995"/>
      <c r="J35" s="995"/>
      <c r="K35" s="995"/>
    </row>
    <row r="36" ht="8.1" customHeight="1" spans="2:11">
      <c r="B36" s="965"/>
      <c r="C36" s="996"/>
      <c r="D36" s="997"/>
      <c r="E36" s="997"/>
      <c r="F36" s="996"/>
      <c r="G36" s="996"/>
      <c r="H36" s="996"/>
      <c r="I36" s="996"/>
      <c r="J36" s="996"/>
      <c r="K36" s="965"/>
    </row>
    <row r="37" ht="32.1" customHeight="1" spans="3:11">
      <c r="C37" s="998" t="str">
        <f>IF(目录!G2="中文",对照!E19,IF(目录!G2="English",对照!F19,对照!E19))</f>
        <v>制作/Prepared by:</v>
      </c>
      <c r="D37" s="998"/>
      <c r="E37" s="999"/>
      <c r="F37" s="1000" t="str">
        <f>IF(目录!G2="中文",对照!E20,IF(目录!G2="English",对照!F20,对照!E20))</f>
        <v>日期/Date:</v>
      </c>
      <c r="G37" s="1001"/>
      <c r="H37" s="1002" t="str">
        <f>IF(目录!G2="中文",对照!E21,IF(目录!G2="English",对照!F21,对照!E21))</f>
        <v>审核/Aprroved by:</v>
      </c>
      <c r="I37" s="999"/>
      <c r="J37" s="1002" t="str">
        <f>IF(目录!G2="中文",对照!E22,IF(目录!G2="English",对照!F22,对照!E22))</f>
        <v>日期/Date:</v>
      </c>
      <c r="K37" s="1001"/>
    </row>
    <row r="38" ht="15.95" customHeight="1" spans="2:11">
      <c r="B38" s="1003"/>
      <c r="C38" s="1003"/>
      <c r="D38" s="1003"/>
      <c r="E38" s="1003"/>
      <c r="F38" s="1003"/>
      <c r="G38" s="1003"/>
      <c r="H38" s="1003"/>
      <c r="I38" s="1003"/>
      <c r="J38" s="1014"/>
      <c r="K38" s="1015" t="s">
        <v>882</v>
      </c>
    </row>
  </sheetData>
  <sheetProtection formatCells="0"/>
  <mergeCells count="21">
    <mergeCell ref="A1:K1"/>
    <mergeCell ref="C2:K2"/>
    <mergeCell ref="C4:D4"/>
    <mergeCell ref="C6:H6"/>
    <mergeCell ref="C13:E13"/>
    <mergeCell ref="F13:G13"/>
    <mergeCell ref="C14:H14"/>
    <mergeCell ref="C21:E21"/>
    <mergeCell ref="F21:G21"/>
    <mergeCell ref="C22:H22"/>
    <mergeCell ref="C29:K29"/>
    <mergeCell ref="F30:G30"/>
    <mergeCell ref="D31:K31"/>
    <mergeCell ref="D32:K32"/>
    <mergeCell ref="D33:K33"/>
    <mergeCell ref="D34:K34"/>
    <mergeCell ref="D35:K35"/>
    <mergeCell ref="C37:D37"/>
    <mergeCell ref="C7:K11"/>
    <mergeCell ref="C15:K19"/>
    <mergeCell ref="C23:K27"/>
  </mergeCells>
  <hyperlinks>
    <hyperlink ref="A1" location="Catalogue!A1" display="Back"/>
    <hyperlink ref="A1:K1" location="目录!A1" display="Back"/>
  </hyperlinks>
  <printOptions horizontalCentered="1"/>
  <pageMargins left="0" right="0" top="0.31496062992126" bottom="0.31496062992126" header="0.118110236220472" footer="0.118110236220472"/>
  <pageSetup paperSize="9" scale="85" orientation="portrait"/>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K55"/>
  <sheetViews>
    <sheetView zoomScale="55" zoomScaleNormal="55" workbookViewId="0">
      <selection activeCell="A1" sqref="A1:J1"/>
    </sheetView>
  </sheetViews>
  <sheetFormatPr defaultColWidth="9" defaultRowHeight="12.75"/>
  <cols>
    <col min="1" max="1" width="12.625" style="902" customWidth="1"/>
    <col min="2" max="2" width="22" style="902" customWidth="1"/>
    <col min="3" max="3" width="12.625" style="902" customWidth="1"/>
    <col min="4" max="4" width="5.625" style="902" customWidth="1"/>
    <col min="5" max="5" width="5.375" style="902" customWidth="1"/>
    <col min="6" max="6" width="5" style="902" customWidth="1"/>
    <col min="7" max="7" width="10.5" style="902" customWidth="1"/>
    <col min="8" max="8" width="18.125" style="902" customWidth="1"/>
    <col min="9" max="9" width="9.5" style="902" customWidth="1"/>
    <col min="10" max="10" width="8.875" style="902" customWidth="1"/>
    <col min="11" max="256" width="9" style="902"/>
    <col min="257" max="257" width="9.5" style="902" customWidth="1"/>
    <col min="258" max="258" width="10.5" style="902" customWidth="1"/>
    <col min="259" max="259" width="9.5" style="902" customWidth="1"/>
    <col min="260" max="261" width="8.375" style="902" customWidth="1"/>
    <col min="262" max="262" width="9.5" style="902" customWidth="1"/>
    <col min="263" max="263" width="10.5" style="902" customWidth="1"/>
    <col min="264" max="264" width="15.375" style="902" customWidth="1"/>
    <col min="265" max="265" width="9.5" style="902" customWidth="1"/>
    <col min="266" max="266" width="10.5" style="902" customWidth="1"/>
    <col min="267" max="512" width="9" style="902"/>
    <col min="513" max="513" width="9.5" style="902" customWidth="1"/>
    <col min="514" max="514" width="10.5" style="902" customWidth="1"/>
    <col min="515" max="515" width="9.5" style="902" customWidth="1"/>
    <col min="516" max="517" width="8.375" style="902" customWidth="1"/>
    <col min="518" max="518" width="9.5" style="902" customWidth="1"/>
    <col min="519" max="519" width="10.5" style="902" customWidth="1"/>
    <col min="520" max="520" width="15.375" style="902" customWidth="1"/>
    <col min="521" max="521" width="9.5" style="902" customWidth="1"/>
    <col min="522" max="522" width="10.5" style="902" customWidth="1"/>
    <col min="523" max="768" width="9" style="902"/>
    <col min="769" max="769" width="9.5" style="902" customWidth="1"/>
    <col min="770" max="770" width="10.5" style="902" customWidth="1"/>
    <col min="771" max="771" width="9.5" style="902" customWidth="1"/>
    <col min="772" max="773" width="8.375" style="902" customWidth="1"/>
    <col min="774" max="774" width="9.5" style="902" customWidth="1"/>
    <col min="775" max="775" width="10.5" style="902" customWidth="1"/>
    <col min="776" max="776" width="15.375" style="902" customWidth="1"/>
    <col min="777" max="777" width="9.5" style="902" customWidth="1"/>
    <col min="778" max="778" width="10.5" style="902" customWidth="1"/>
    <col min="779" max="1024" width="9" style="902"/>
    <col min="1025" max="1025" width="9.5" style="902" customWidth="1"/>
    <col min="1026" max="1026" width="10.5" style="902" customWidth="1"/>
    <col min="1027" max="1027" width="9.5" style="902" customWidth="1"/>
    <col min="1028" max="1029" width="8.375" style="902" customWidth="1"/>
    <col min="1030" max="1030" width="9.5" style="902" customWidth="1"/>
    <col min="1031" max="1031" width="10.5" style="902" customWidth="1"/>
    <col min="1032" max="1032" width="15.375" style="902" customWidth="1"/>
    <col min="1033" max="1033" width="9.5" style="902" customWidth="1"/>
    <col min="1034" max="1034" width="10.5" style="902" customWidth="1"/>
    <col min="1035" max="1280" width="9" style="902"/>
    <col min="1281" max="1281" width="9.5" style="902" customWidth="1"/>
    <col min="1282" max="1282" width="10.5" style="902" customWidth="1"/>
    <col min="1283" max="1283" width="9.5" style="902" customWidth="1"/>
    <col min="1284" max="1285" width="8.375" style="902" customWidth="1"/>
    <col min="1286" max="1286" width="9.5" style="902" customWidth="1"/>
    <col min="1287" max="1287" width="10.5" style="902" customWidth="1"/>
    <col min="1288" max="1288" width="15.375" style="902" customWidth="1"/>
    <col min="1289" max="1289" width="9.5" style="902" customWidth="1"/>
    <col min="1290" max="1290" width="10.5" style="902" customWidth="1"/>
    <col min="1291" max="1536" width="9" style="902"/>
    <col min="1537" max="1537" width="9.5" style="902" customWidth="1"/>
    <col min="1538" max="1538" width="10.5" style="902" customWidth="1"/>
    <col min="1539" max="1539" width="9.5" style="902" customWidth="1"/>
    <col min="1540" max="1541" width="8.375" style="902" customWidth="1"/>
    <col min="1542" max="1542" width="9.5" style="902" customWidth="1"/>
    <col min="1543" max="1543" width="10.5" style="902" customWidth="1"/>
    <col min="1544" max="1544" width="15.375" style="902" customWidth="1"/>
    <col min="1545" max="1545" width="9.5" style="902" customWidth="1"/>
    <col min="1546" max="1546" width="10.5" style="902" customWidth="1"/>
    <col min="1547" max="1792" width="9" style="902"/>
    <col min="1793" max="1793" width="9.5" style="902" customWidth="1"/>
    <col min="1794" max="1794" width="10.5" style="902" customWidth="1"/>
    <col min="1795" max="1795" width="9.5" style="902" customWidth="1"/>
    <col min="1796" max="1797" width="8.375" style="902" customWidth="1"/>
    <col min="1798" max="1798" width="9.5" style="902" customWidth="1"/>
    <col min="1799" max="1799" width="10.5" style="902" customWidth="1"/>
    <col min="1800" max="1800" width="15.375" style="902" customWidth="1"/>
    <col min="1801" max="1801" width="9.5" style="902" customWidth="1"/>
    <col min="1802" max="1802" width="10.5" style="902" customWidth="1"/>
    <col min="1803" max="2048" width="9" style="902"/>
    <col min="2049" max="2049" width="9.5" style="902" customWidth="1"/>
    <col min="2050" max="2050" width="10.5" style="902" customWidth="1"/>
    <col min="2051" max="2051" width="9.5" style="902" customWidth="1"/>
    <col min="2052" max="2053" width="8.375" style="902" customWidth="1"/>
    <col min="2054" max="2054" width="9.5" style="902" customWidth="1"/>
    <col min="2055" max="2055" width="10.5" style="902" customWidth="1"/>
    <col min="2056" max="2056" width="15.375" style="902" customWidth="1"/>
    <col min="2057" max="2057" width="9.5" style="902" customWidth="1"/>
    <col min="2058" max="2058" width="10.5" style="902" customWidth="1"/>
    <col min="2059" max="2304" width="9" style="902"/>
    <col min="2305" max="2305" width="9.5" style="902" customWidth="1"/>
    <col min="2306" max="2306" width="10.5" style="902" customWidth="1"/>
    <col min="2307" max="2307" width="9.5" style="902" customWidth="1"/>
    <col min="2308" max="2309" width="8.375" style="902" customWidth="1"/>
    <col min="2310" max="2310" width="9.5" style="902" customWidth="1"/>
    <col min="2311" max="2311" width="10.5" style="902" customWidth="1"/>
    <col min="2312" max="2312" width="15.375" style="902" customWidth="1"/>
    <col min="2313" max="2313" width="9.5" style="902" customWidth="1"/>
    <col min="2314" max="2314" width="10.5" style="902" customWidth="1"/>
    <col min="2315" max="2560" width="9" style="902"/>
    <col min="2561" max="2561" width="9.5" style="902" customWidth="1"/>
    <col min="2562" max="2562" width="10.5" style="902" customWidth="1"/>
    <col min="2563" max="2563" width="9.5" style="902" customWidth="1"/>
    <col min="2564" max="2565" width="8.375" style="902" customWidth="1"/>
    <col min="2566" max="2566" width="9.5" style="902" customWidth="1"/>
    <col min="2567" max="2567" width="10.5" style="902" customWidth="1"/>
    <col min="2568" max="2568" width="15.375" style="902" customWidth="1"/>
    <col min="2569" max="2569" width="9.5" style="902" customWidth="1"/>
    <col min="2570" max="2570" width="10.5" style="902" customWidth="1"/>
    <col min="2571" max="2816" width="9" style="902"/>
    <col min="2817" max="2817" width="9.5" style="902" customWidth="1"/>
    <col min="2818" max="2818" width="10.5" style="902" customWidth="1"/>
    <col min="2819" max="2819" width="9.5" style="902" customWidth="1"/>
    <col min="2820" max="2821" width="8.375" style="902" customWidth="1"/>
    <col min="2822" max="2822" width="9.5" style="902" customWidth="1"/>
    <col min="2823" max="2823" width="10.5" style="902" customWidth="1"/>
    <col min="2824" max="2824" width="15.375" style="902" customWidth="1"/>
    <col min="2825" max="2825" width="9.5" style="902" customWidth="1"/>
    <col min="2826" max="2826" width="10.5" style="902" customWidth="1"/>
    <col min="2827" max="3072" width="9" style="902"/>
    <col min="3073" max="3073" width="9.5" style="902" customWidth="1"/>
    <col min="3074" max="3074" width="10.5" style="902" customWidth="1"/>
    <col min="3075" max="3075" width="9.5" style="902" customWidth="1"/>
    <col min="3076" max="3077" width="8.375" style="902" customWidth="1"/>
    <col min="3078" max="3078" width="9.5" style="902" customWidth="1"/>
    <col min="3079" max="3079" width="10.5" style="902" customWidth="1"/>
    <col min="3080" max="3080" width="15.375" style="902" customWidth="1"/>
    <col min="3081" max="3081" width="9.5" style="902" customWidth="1"/>
    <col min="3082" max="3082" width="10.5" style="902" customWidth="1"/>
    <col min="3083" max="3328" width="9" style="902"/>
    <col min="3329" max="3329" width="9.5" style="902" customWidth="1"/>
    <col min="3330" max="3330" width="10.5" style="902" customWidth="1"/>
    <col min="3331" max="3331" width="9.5" style="902" customWidth="1"/>
    <col min="3332" max="3333" width="8.375" style="902" customWidth="1"/>
    <col min="3334" max="3334" width="9.5" style="902" customWidth="1"/>
    <col min="3335" max="3335" width="10.5" style="902" customWidth="1"/>
    <col min="3336" max="3336" width="15.375" style="902" customWidth="1"/>
    <col min="3337" max="3337" width="9.5" style="902" customWidth="1"/>
    <col min="3338" max="3338" width="10.5" style="902" customWidth="1"/>
    <col min="3339" max="3584" width="9" style="902"/>
    <col min="3585" max="3585" width="9.5" style="902" customWidth="1"/>
    <col min="3586" max="3586" width="10.5" style="902" customWidth="1"/>
    <col min="3587" max="3587" width="9.5" style="902" customWidth="1"/>
    <col min="3588" max="3589" width="8.375" style="902" customWidth="1"/>
    <col min="3590" max="3590" width="9.5" style="902" customWidth="1"/>
    <col min="3591" max="3591" width="10.5" style="902" customWidth="1"/>
    <col min="3592" max="3592" width="15.375" style="902" customWidth="1"/>
    <col min="3593" max="3593" width="9.5" style="902" customWidth="1"/>
    <col min="3594" max="3594" width="10.5" style="902" customWidth="1"/>
    <col min="3595" max="3840" width="9" style="902"/>
    <col min="3841" max="3841" width="9.5" style="902" customWidth="1"/>
    <col min="3842" max="3842" width="10.5" style="902" customWidth="1"/>
    <col min="3843" max="3843" width="9.5" style="902" customWidth="1"/>
    <col min="3844" max="3845" width="8.375" style="902" customWidth="1"/>
    <col min="3846" max="3846" width="9.5" style="902" customWidth="1"/>
    <col min="3847" max="3847" width="10.5" style="902" customWidth="1"/>
    <col min="3848" max="3848" width="15.375" style="902" customWidth="1"/>
    <col min="3849" max="3849" width="9.5" style="902" customWidth="1"/>
    <col min="3850" max="3850" width="10.5" style="902" customWidth="1"/>
    <col min="3851" max="4096" width="9" style="902"/>
    <col min="4097" max="4097" width="9.5" style="902" customWidth="1"/>
    <col min="4098" max="4098" width="10.5" style="902" customWidth="1"/>
    <col min="4099" max="4099" width="9.5" style="902" customWidth="1"/>
    <col min="4100" max="4101" width="8.375" style="902" customWidth="1"/>
    <col min="4102" max="4102" width="9.5" style="902" customWidth="1"/>
    <col min="4103" max="4103" width="10.5" style="902" customWidth="1"/>
    <col min="4104" max="4104" width="15.375" style="902" customWidth="1"/>
    <col min="4105" max="4105" width="9.5" style="902" customWidth="1"/>
    <col min="4106" max="4106" width="10.5" style="902" customWidth="1"/>
    <col min="4107" max="4352" width="9" style="902"/>
    <col min="4353" max="4353" width="9.5" style="902" customWidth="1"/>
    <col min="4354" max="4354" width="10.5" style="902" customWidth="1"/>
    <col min="4355" max="4355" width="9.5" style="902" customWidth="1"/>
    <col min="4356" max="4357" width="8.375" style="902" customWidth="1"/>
    <col min="4358" max="4358" width="9.5" style="902" customWidth="1"/>
    <col min="4359" max="4359" width="10.5" style="902" customWidth="1"/>
    <col min="4360" max="4360" width="15.375" style="902" customWidth="1"/>
    <col min="4361" max="4361" width="9.5" style="902" customWidth="1"/>
    <col min="4362" max="4362" width="10.5" style="902" customWidth="1"/>
    <col min="4363" max="4608" width="9" style="902"/>
    <col min="4609" max="4609" width="9.5" style="902" customWidth="1"/>
    <col min="4610" max="4610" width="10.5" style="902" customWidth="1"/>
    <col min="4611" max="4611" width="9.5" style="902" customWidth="1"/>
    <col min="4612" max="4613" width="8.375" style="902" customWidth="1"/>
    <col min="4614" max="4614" width="9.5" style="902" customWidth="1"/>
    <col min="4615" max="4615" width="10.5" style="902" customWidth="1"/>
    <col min="4616" max="4616" width="15.375" style="902" customWidth="1"/>
    <col min="4617" max="4617" width="9.5" style="902" customWidth="1"/>
    <col min="4618" max="4618" width="10.5" style="902" customWidth="1"/>
    <col min="4619" max="4864" width="9" style="902"/>
    <col min="4865" max="4865" width="9.5" style="902" customWidth="1"/>
    <col min="4866" max="4866" width="10.5" style="902" customWidth="1"/>
    <col min="4867" max="4867" width="9.5" style="902" customWidth="1"/>
    <col min="4868" max="4869" width="8.375" style="902" customWidth="1"/>
    <col min="4870" max="4870" width="9.5" style="902" customWidth="1"/>
    <col min="4871" max="4871" width="10.5" style="902" customWidth="1"/>
    <col min="4872" max="4872" width="15.375" style="902" customWidth="1"/>
    <col min="4873" max="4873" width="9.5" style="902" customWidth="1"/>
    <col min="4874" max="4874" width="10.5" style="902" customWidth="1"/>
    <col min="4875" max="5120" width="9" style="902"/>
    <col min="5121" max="5121" width="9.5" style="902" customWidth="1"/>
    <col min="5122" max="5122" width="10.5" style="902" customWidth="1"/>
    <col min="5123" max="5123" width="9.5" style="902" customWidth="1"/>
    <col min="5124" max="5125" width="8.375" style="902" customWidth="1"/>
    <col min="5126" max="5126" width="9.5" style="902" customWidth="1"/>
    <col min="5127" max="5127" width="10.5" style="902" customWidth="1"/>
    <col min="5128" max="5128" width="15.375" style="902" customWidth="1"/>
    <col min="5129" max="5129" width="9.5" style="902" customWidth="1"/>
    <col min="5130" max="5130" width="10.5" style="902" customWidth="1"/>
    <col min="5131" max="5376" width="9" style="902"/>
    <col min="5377" max="5377" width="9.5" style="902" customWidth="1"/>
    <col min="5378" max="5378" width="10.5" style="902" customWidth="1"/>
    <col min="5379" max="5379" width="9.5" style="902" customWidth="1"/>
    <col min="5380" max="5381" width="8.375" style="902" customWidth="1"/>
    <col min="5382" max="5382" width="9.5" style="902" customWidth="1"/>
    <col min="5383" max="5383" width="10.5" style="902" customWidth="1"/>
    <col min="5384" max="5384" width="15.375" style="902" customWidth="1"/>
    <col min="5385" max="5385" width="9.5" style="902" customWidth="1"/>
    <col min="5386" max="5386" width="10.5" style="902" customWidth="1"/>
    <col min="5387" max="5632" width="9" style="902"/>
    <col min="5633" max="5633" width="9.5" style="902" customWidth="1"/>
    <col min="5634" max="5634" width="10.5" style="902" customWidth="1"/>
    <col min="5635" max="5635" width="9.5" style="902" customWidth="1"/>
    <col min="5636" max="5637" width="8.375" style="902" customWidth="1"/>
    <col min="5638" max="5638" width="9.5" style="902" customWidth="1"/>
    <col min="5639" max="5639" width="10.5" style="902" customWidth="1"/>
    <col min="5640" max="5640" width="15.375" style="902" customWidth="1"/>
    <col min="5641" max="5641" width="9.5" style="902" customWidth="1"/>
    <col min="5642" max="5642" width="10.5" style="902" customWidth="1"/>
    <col min="5643" max="5888" width="9" style="902"/>
    <col min="5889" max="5889" width="9.5" style="902" customWidth="1"/>
    <col min="5890" max="5890" width="10.5" style="902" customWidth="1"/>
    <col min="5891" max="5891" width="9.5" style="902" customWidth="1"/>
    <col min="5892" max="5893" width="8.375" style="902" customWidth="1"/>
    <col min="5894" max="5894" width="9.5" style="902" customWidth="1"/>
    <col min="5895" max="5895" width="10.5" style="902" customWidth="1"/>
    <col min="5896" max="5896" width="15.375" style="902" customWidth="1"/>
    <col min="5897" max="5897" width="9.5" style="902" customWidth="1"/>
    <col min="5898" max="5898" width="10.5" style="902" customWidth="1"/>
    <col min="5899" max="6144" width="9" style="902"/>
    <col min="6145" max="6145" width="9.5" style="902" customWidth="1"/>
    <col min="6146" max="6146" width="10.5" style="902" customWidth="1"/>
    <col min="6147" max="6147" width="9.5" style="902" customWidth="1"/>
    <col min="6148" max="6149" width="8.375" style="902" customWidth="1"/>
    <col min="6150" max="6150" width="9.5" style="902" customWidth="1"/>
    <col min="6151" max="6151" width="10.5" style="902" customWidth="1"/>
    <col min="6152" max="6152" width="15.375" style="902" customWidth="1"/>
    <col min="6153" max="6153" width="9.5" style="902" customWidth="1"/>
    <col min="6154" max="6154" width="10.5" style="902" customWidth="1"/>
    <col min="6155" max="6400" width="9" style="902"/>
    <col min="6401" max="6401" width="9.5" style="902" customWidth="1"/>
    <col min="6402" max="6402" width="10.5" style="902" customWidth="1"/>
    <col min="6403" max="6403" width="9.5" style="902" customWidth="1"/>
    <col min="6404" max="6405" width="8.375" style="902" customWidth="1"/>
    <col min="6406" max="6406" width="9.5" style="902" customWidth="1"/>
    <col min="6407" max="6407" width="10.5" style="902" customWidth="1"/>
    <col min="6408" max="6408" width="15.375" style="902" customWidth="1"/>
    <col min="6409" max="6409" width="9.5" style="902" customWidth="1"/>
    <col min="6410" max="6410" width="10.5" style="902" customWidth="1"/>
    <col min="6411" max="6656" width="9" style="902"/>
    <col min="6657" max="6657" width="9.5" style="902" customWidth="1"/>
    <col min="6658" max="6658" width="10.5" style="902" customWidth="1"/>
    <col min="6659" max="6659" width="9.5" style="902" customWidth="1"/>
    <col min="6660" max="6661" width="8.375" style="902" customWidth="1"/>
    <col min="6662" max="6662" width="9.5" style="902" customWidth="1"/>
    <col min="6663" max="6663" width="10.5" style="902" customWidth="1"/>
    <col min="6664" max="6664" width="15.375" style="902" customWidth="1"/>
    <col min="6665" max="6665" width="9.5" style="902" customWidth="1"/>
    <col min="6666" max="6666" width="10.5" style="902" customWidth="1"/>
    <col min="6667" max="6912" width="9" style="902"/>
    <col min="6913" max="6913" width="9.5" style="902" customWidth="1"/>
    <col min="6914" max="6914" width="10.5" style="902" customWidth="1"/>
    <col min="6915" max="6915" width="9.5" style="902" customWidth="1"/>
    <col min="6916" max="6917" width="8.375" style="902" customWidth="1"/>
    <col min="6918" max="6918" width="9.5" style="902" customWidth="1"/>
    <col min="6919" max="6919" width="10.5" style="902" customWidth="1"/>
    <col min="6920" max="6920" width="15.375" style="902" customWidth="1"/>
    <col min="6921" max="6921" width="9.5" style="902" customWidth="1"/>
    <col min="6922" max="6922" width="10.5" style="902" customWidth="1"/>
    <col min="6923" max="7168" width="9" style="902"/>
    <col min="7169" max="7169" width="9.5" style="902" customWidth="1"/>
    <col min="7170" max="7170" width="10.5" style="902" customWidth="1"/>
    <col min="7171" max="7171" width="9.5" style="902" customWidth="1"/>
    <col min="7172" max="7173" width="8.375" style="902" customWidth="1"/>
    <col min="7174" max="7174" width="9.5" style="902" customWidth="1"/>
    <col min="7175" max="7175" width="10.5" style="902" customWidth="1"/>
    <col min="7176" max="7176" width="15.375" style="902" customWidth="1"/>
    <col min="7177" max="7177" width="9.5" style="902" customWidth="1"/>
    <col min="7178" max="7178" width="10.5" style="902" customWidth="1"/>
    <col min="7179" max="7424" width="9" style="902"/>
    <col min="7425" max="7425" width="9.5" style="902" customWidth="1"/>
    <col min="7426" max="7426" width="10.5" style="902" customWidth="1"/>
    <col min="7427" max="7427" width="9.5" style="902" customWidth="1"/>
    <col min="7428" max="7429" width="8.375" style="902" customWidth="1"/>
    <col min="7430" max="7430" width="9.5" style="902" customWidth="1"/>
    <col min="7431" max="7431" width="10.5" style="902" customWidth="1"/>
    <col min="7432" max="7432" width="15.375" style="902" customWidth="1"/>
    <col min="7433" max="7433" width="9.5" style="902" customWidth="1"/>
    <col min="7434" max="7434" width="10.5" style="902" customWidth="1"/>
    <col min="7435" max="7680" width="9" style="902"/>
    <col min="7681" max="7681" width="9.5" style="902" customWidth="1"/>
    <col min="7682" max="7682" width="10.5" style="902" customWidth="1"/>
    <col min="7683" max="7683" width="9.5" style="902" customWidth="1"/>
    <col min="7684" max="7685" width="8.375" style="902" customWidth="1"/>
    <col min="7686" max="7686" width="9.5" style="902" customWidth="1"/>
    <col min="7687" max="7687" width="10.5" style="902" customWidth="1"/>
    <col min="7688" max="7688" width="15.375" style="902" customWidth="1"/>
    <col min="7689" max="7689" width="9.5" style="902" customWidth="1"/>
    <col min="7690" max="7690" width="10.5" style="902" customWidth="1"/>
    <col min="7691" max="7936" width="9" style="902"/>
    <col min="7937" max="7937" width="9.5" style="902" customWidth="1"/>
    <col min="7938" max="7938" width="10.5" style="902" customWidth="1"/>
    <col min="7939" max="7939" width="9.5" style="902" customWidth="1"/>
    <col min="7940" max="7941" width="8.375" style="902" customWidth="1"/>
    <col min="7942" max="7942" width="9.5" style="902" customWidth="1"/>
    <col min="7943" max="7943" width="10.5" style="902" customWidth="1"/>
    <col min="7944" max="7944" width="15.375" style="902" customWidth="1"/>
    <col min="7945" max="7945" width="9.5" style="902" customWidth="1"/>
    <col min="7946" max="7946" width="10.5" style="902" customWidth="1"/>
    <col min="7947" max="8192" width="9" style="902"/>
    <col min="8193" max="8193" width="9.5" style="902" customWidth="1"/>
    <col min="8194" max="8194" width="10.5" style="902" customWidth="1"/>
    <col min="8195" max="8195" width="9.5" style="902" customWidth="1"/>
    <col min="8196" max="8197" width="8.375" style="902" customWidth="1"/>
    <col min="8198" max="8198" width="9.5" style="902" customWidth="1"/>
    <col min="8199" max="8199" width="10.5" style="902" customWidth="1"/>
    <col min="8200" max="8200" width="15.375" style="902" customWidth="1"/>
    <col min="8201" max="8201" width="9.5" style="902" customWidth="1"/>
    <col min="8202" max="8202" width="10.5" style="902" customWidth="1"/>
    <col min="8203" max="8448" width="9" style="902"/>
    <col min="8449" max="8449" width="9.5" style="902" customWidth="1"/>
    <col min="8450" max="8450" width="10.5" style="902" customWidth="1"/>
    <col min="8451" max="8451" width="9.5" style="902" customWidth="1"/>
    <col min="8452" max="8453" width="8.375" style="902" customWidth="1"/>
    <col min="8454" max="8454" width="9.5" style="902" customWidth="1"/>
    <col min="8455" max="8455" width="10.5" style="902" customWidth="1"/>
    <col min="8456" max="8456" width="15.375" style="902" customWidth="1"/>
    <col min="8457" max="8457" width="9.5" style="902" customWidth="1"/>
    <col min="8458" max="8458" width="10.5" style="902" customWidth="1"/>
    <col min="8459" max="8704" width="9" style="902"/>
    <col min="8705" max="8705" width="9.5" style="902" customWidth="1"/>
    <col min="8706" max="8706" width="10.5" style="902" customWidth="1"/>
    <col min="8707" max="8707" width="9.5" style="902" customWidth="1"/>
    <col min="8708" max="8709" width="8.375" style="902" customWidth="1"/>
    <col min="8710" max="8710" width="9.5" style="902" customWidth="1"/>
    <col min="8711" max="8711" width="10.5" style="902" customWidth="1"/>
    <col min="8712" max="8712" width="15.375" style="902" customWidth="1"/>
    <col min="8713" max="8713" width="9.5" style="902" customWidth="1"/>
    <col min="8714" max="8714" width="10.5" style="902" customWidth="1"/>
    <col min="8715" max="8960" width="9" style="902"/>
    <col min="8961" max="8961" width="9.5" style="902" customWidth="1"/>
    <col min="8962" max="8962" width="10.5" style="902" customWidth="1"/>
    <col min="8963" max="8963" width="9.5" style="902" customWidth="1"/>
    <col min="8964" max="8965" width="8.375" style="902" customWidth="1"/>
    <col min="8966" max="8966" width="9.5" style="902" customWidth="1"/>
    <col min="8967" max="8967" width="10.5" style="902" customWidth="1"/>
    <col min="8968" max="8968" width="15.375" style="902" customWidth="1"/>
    <col min="8969" max="8969" width="9.5" style="902" customWidth="1"/>
    <col min="8970" max="8970" width="10.5" style="902" customWidth="1"/>
    <col min="8971" max="9216" width="9" style="902"/>
    <col min="9217" max="9217" width="9.5" style="902" customWidth="1"/>
    <col min="9218" max="9218" width="10.5" style="902" customWidth="1"/>
    <col min="9219" max="9219" width="9.5" style="902" customWidth="1"/>
    <col min="9220" max="9221" width="8.375" style="902" customWidth="1"/>
    <col min="9222" max="9222" width="9.5" style="902" customWidth="1"/>
    <col min="9223" max="9223" width="10.5" style="902" customWidth="1"/>
    <col min="9224" max="9224" width="15.375" style="902" customWidth="1"/>
    <col min="9225" max="9225" width="9.5" style="902" customWidth="1"/>
    <col min="9226" max="9226" width="10.5" style="902" customWidth="1"/>
    <col min="9227" max="9472" width="9" style="902"/>
    <col min="9473" max="9473" width="9.5" style="902" customWidth="1"/>
    <col min="9474" max="9474" width="10.5" style="902" customWidth="1"/>
    <col min="9475" max="9475" width="9.5" style="902" customWidth="1"/>
    <col min="9476" max="9477" width="8.375" style="902" customWidth="1"/>
    <col min="9478" max="9478" width="9.5" style="902" customWidth="1"/>
    <col min="9479" max="9479" width="10.5" style="902" customWidth="1"/>
    <col min="9480" max="9480" width="15.375" style="902" customWidth="1"/>
    <col min="9481" max="9481" width="9.5" style="902" customWidth="1"/>
    <col min="9482" max="9482" width="10.5" style="902" customWidth="1"/>
    <col min="9483" max="9728" width="9" style="902"/>
    <col min="9729" max="9729" width="9.5" style="902" customWidth="1"/>
    <col min="9730" max="9730" width="10.5" style="902" customWidth="1"/>
    <col min="9731" max="9731" width="9.5" style="902" customWidth="1"/>
    <col min="9732" max="9733" width="8.375" style="902" customWidth="1"/>
    <col min="9734" max="9734" width="9.5" style="902" customWidth="1"/>
    <col min="9735" max="9735" width="10.5" style="902" customWidth="1"/>
    <col min="9736" max="9736" width="15.375" style="902" customWidth="1"/>
    <col min="9737" max="9737" width="9.5" style="902" customWidth="1"/>
    <col min="9738" max="9738" width="10.5" style="902" customWidth="1"/>
    <col min="9739" max="9984" width="9" style="902"/>
    <col min="9985" max="9985" width="9.5" style="902" customWidth="1"/>
    <col min="9986" max="9986" width="10.5" style="902" customWidth="1"/>
    <col min="9987" max="9987" width="9.5" style="902" customWidth="1"/>
    <col min="9988" max="9989" width="8.375" style="902" customWidth="1"/>
    <col min="9990" max="9990" width="9.5" style="902" customWidth="1"/>
    <col min="9991" max="9991" width="10.5" style="902" customWidth="1"/>
    <col min="9992" max="9992" width="15.375" style="902" customWidth="1"/>
    <col min="9993" max="9993" width="9.5" style="902" customWidth="1"/>
    <col min="9994" max="9994" width="10.5" style="902" customWidth="1"/>
    <col min="9995" max="10240" width="9" style="902"/>
    <col min="10241" max="10241" width="9.5" style="902" customWidth="1"/>
    <col min="10242" max="10242" width="10.5" style="902" customWidth="1"/>
    <col min="10243" max="10243" width="9.5" style="902" customWidth="1"/>
    <col min="10244" max="10245" width="8.375" style="902" customWidth="1"/>
    <col min="10246" max="10246" width="9.5" style="902" customWidth="1"/>
    <col min="10247" max="10247" width="10.5" style="902" customWidth="1"/>
    <col min="10248" max="10248" width="15.375" style="902" customWidth="1"/>
    <col min="10249" max="10249" width="9.5" style="902" customWidth="1"/>
    <col min="10250" max="10250" width="10.5" style="902" customWidth="1"/>
    <col min="10251" max="10496" width="9" style="902"/>
    <col min="10497" max="10497" width="9.5" style="902" customWidth="1"/>
    <col min="10498" max="10498" width="10.5" style="902" customWidth="1"/>
    <col min="10499" max="10499" width="9.5" style="902" customWidth="1"/>
    <col min="10500" max="10501" width="8.375" style="902" customWidth="1"/>
    <col min="10502" max="10502" width="9.5" style="902" customWidth="1"/>
    <col min="10503" max="10503" width="10.5" style="902" customWidth="1"/>
    <col min="10504" max="10504" width="15.375" style="902" customWidth="1"/>
    <col min="10505" max="10505" width="9.5" style="902" customWidth="1"/>
    <col min="10506" max="10506" width="10.5" style="902" customWidth="1"/>
    <col min="10507" max="10752" width="9" style="902"/>
    <col min="10753" max="10753" width="9.5" style="902" customWidth="1"/>
    <col min="10754" max="10754" width="10.5" style="902" customWidth="1"/>
    <col min="10755" max="10755" width="9.5" style="902" customWidth="1"/>
    <col min="10756" max="10757" width="8.375" style="902" customWidth="1"/>
    <col min="10758" max="10758" width="9.5" style="902" customWidth="1"/>
    <col min="10759" max="10759" width="10.5" style="902" customWidth="1"/>
    <col min="10760" max="10760" width="15.375" style="902" customWidth="1"/>
    <col min="10761" max="10761" width="9.5" style="902" customWidth="1"/>
    <col min="10762" max="10762" width="10.5" style="902" customWidth="1"/>
    <col min="10763" max="11008" width="9" style="902"/>
    <col min="11009" max="11009" width="9.5" style="902" customWidth="1"/>
    <col min="11010" max="11010" width="10.5" style="902" customWidth="1"/>
    <col min="11011" max="11011" width="9.5" style="902" customWidth="1"/>
    <col min="11012" max="11013" width="8.375" style="902" customWidth="1"/>
    <col min="11014" max="11014" width="9.5" style="902" customWidth="1"/>
    <col min="11015" max="11015" width="10.5" style="902" customWidth="1"/>
    <col min="11016" max="11016" width="15.375" style="902" customWidth="1"/>
    <col min="11017" max="11017" width="9.5" style="902" customWidth="1"/>
    <col min="11018" max="11018" width="10.5" style="902" customWidth="1"/>
    <col min="11019" max="11264" width="9" style="902"/>
    <col min="11265" max="11265" width="9.5" style="902" customWidth="1"/>
    <col min="11266" max="11266" width="10.5" style="902" customWidth="1"/>
    <col min="11267" max="11267" width="9.5" style="902" customWidth="1"/>
    <col min="11268" max="11269" width="8.375" style="902" customWidth="1"/>
    <col min="11270" max="11270" width="9.5" style="902" customWidth="1"/>
    <col min="11271" max="11271" width="10.5" style="902" customWidth="1"/>
    <col min="11272" max="11272" width="15.375" style="902" customWidth="1"/>
    <col min="11273" max="11273" width="9.5" style="902" customWidth="1"/>
    <col min="11274" max="11274" width="10.5" style="902" customWidth="1"/>
    <col min="11275" max="11520" width="9" style="902"/>
    <col min="11521" max="11521" width="9.5" style="902" customWidth="1"/>
    <col min="11522" max="11522" width="10.5" style="902" customWidth="1"/>
    <col min="11523" max="11523" width="9.5" style="902" customWidth="1"/>
    <col min="11524" max="11525" width="8.375" style="902" customWidth="1"/>
    <col min="11526" max="11526" width="9.5" style="902" customWidth="1"/>
    <col min="11527" max="11527" width="10.5" style="902" customWidth="1"/>
    <col min="11528" max="11528" width="15.375" style="902" customWidth="1"/>
    <col min="11529" max="11529" width="9.5" style="902" customWidth="1"/>
    <col min="11530" max="11530" width="10.5" style="902" customWidth="1"/>
    <col min="11531" max="11776" width="9" style="902"/>
    <col min="11777" max="11777" width="9.5" style="902" customWidth="1"/>
    <col min="11778" max="11778" width="10.5" style="902" customWidth="1"/>
    <col min="11779" max="11779" width="9.5" style="902" customWidth="1"/>
    <col min="11780" max="11781" width="8.375" style="902" customWidth="1"/>
    <col min="11782" max="11782" width="9.5" style="902" customWidth="1"/>
    <col min="11783" max="11783" width="10.5" style="902" customWidth="1"/>
    <col min="11784" max="11784" width="15.375" style="902" customWidth="1"/>
    <col min="11785" max="11785" width="9.5" style="902" customWidth="1"/>
    <col min="11786" max="11786" width="10.5" style="902" customWidth="1"/>
    <col min="11787" max="12032" width="9" style="902"/>
    <col min="12033" max="12033" width="9.5" style="902" customWidth="1"/>
    <col min="12034" max="12034" width="10.5" style="902" customWidth="1"/>
    <col min="12035" max="12035" width="9.5" style="902" customWidth="1"/>
    <col min="12036" max="12037" width="8.375" style="902" customWidth="1"/>
    <col min="12038" max="12038" width="9.5" style="902" customWidth="1"/>
    <col min="12039" max="12039" width="10.5" style="902" customWidth="1"/>
    <col min="12040" max="12040" width="15.375" style="902" customWidth="1"/>
    <col min="12041" max="12041" width="9.5" style="902" customWidth="1"/>
    <col min="12042" max="12042" width="10.5" style="902" customWidth="1"/>
    <col min="12043" max="12288" width="9" style="902"/>
    <col min="12289" max="12289" width="9.5" style="902" customWidth="1"/>
    <col min="12290" max="12290" width="10.5" style="902" customWidth="1"/>
    <col min="12291" max="12291" width="9.5" style="902" customWidth="1"/>
    <col min="12292" max="12293" width="8.375" style="902" customWidth="1"/>
    <col min="12294" max="12294" width="9.5" style="902" customWidth="1"/>
    <col min="12295" max="12295" width="10.5" style="902" customWidth="1"/>
    <col min="12296" max="12296" width="15.375" style="902" customWidth="1"/>
    <col min="12297" max="12297" width="9.5" style="902" customWidth="1"/>
    <col min="12298" max="12298" width="10.5" style="902" customWidth="1"/>
    <col min="12299" max="12544" width="9" style="902"/>
    <col min="12545" max="12545" width="9.5" style="902" customWidth="1"/>
    <col min="12546" max="12546" width="10.5" style="902" customWidth="1"/>
    <col min="12547" max="12547" width="9.5" style="902" customWidth="1"/>
    <col min="12548" max="12549" width="8.375" style="902" customWidth="1"/>
    <col min="12550" max="12550" width="9.5" style="902" customWidth="1"/>
    <col min="12551" max="12551" width="10.5" style="902" customWidth="1"/>
    <col min="12552" max="12552" width="15.375" style="902" customWidth="1"/>
    <col min="12553" max="12553" width="9.5" style="902" customWidth="1"/>
    <col min="12554" max="12554" width="10.5" style="902" customWidth="1"/>
    <col min="12555" max="12800" width="9" style="902"/>
    <col min="12801" max="12801" width="9.5" style="902" customWidth="1"/>
    <col min="12802" max="12802" width="10.5" style="902" customWidth="1"/>
    <col min="12803" max="12803" width="9.5" style="902" customWidth="1"/>
    <col min="12804" max="12805" width="8.375" style="902" customWidth="1"/>
    <col min="12806" max="12806" width="9.5" style="902" customWidth="1"/>
    <col min="12807" max="12807" width="10.5" style="902" customWidth="1"/>
    <col min="12808" max="12808" width="15.375" style="902" customWidth="1"/>
    <col min="12809" max="12809" width="9.5" style="902" customWidth="1"/>
    <col min="12810" max="12810" width="10.5" style="902" customWidth="1"/>
    <col min="12811" max="13056" width="9" style="902"/>
    <col min="13057" max="13057" width="9.5" style="902" customWidth="1"/>
    <col min="13058" max="13058" width="10.5" style="902" customWidth="1"/>
    <col min="13059" max="13059" width="9.5" style="902" customWidth="1"/>
    <col min="13060" max="13061" width="8.375" style="902" customWidth="1"/>
    <col min="13062" max="13062" width="9.5" style="902" customWidth="1"/>
    <col min="13063" max="13063" width="10.5" style="902" customWidth="1"/>
    <col min="13064" max="13064" width="15.375" style="902" customWidth="1"/>
    <col min="13065" max="13065" width="9.5" style="902" customWidth="1"/>
    <col min="13066" max="13066" width="10.5" style="902" customWidth="1"/>
    <col min="13067" max="13312" width="9" style="902"/>
    <col min="13313" max="13313" width="9.5" style="902" customWidth="1"/>
    <col min="13314" max="13314" width="10.5" style="902" customWidth="1"/>
    <col min="13315" max="13315" width="9.5" style="902" customWidth="1"/>
    <col min="13316" max="13317" width="8.375" style="902" customWidth="1"/>
    <col min="13318" max="13318" width="9.5" style="902" customWidth="1"/>
    <col min="13319" max="13319" width="10.5" style="902" customWidth="1"/>
    <col min="13320" max="13320" width="15.375" style="902" customWidth="1"/>
    <col min="13321" max="13321" width="9.5" style="902" customWidth="1"/>
    <col min="13322" max="13322" width="10.5" style="902" customWidth="1"/>
    <col min="13323" max="13568" width="9" style="902"/>
    <col min="13569" max="13569" width="9.5" style="902" customWidth="1"/>
    <col min="13570" max="13570" width="10.5" style="902" customWidth="1"/>
    <col min="13571" max="13571" width="9.5" style="902" customWidth="1"/>
    <col min="13572" max="13573" width="8.375" style="902" customWidth="1"/>
    <col min="13574" max="13574" width="9.5" style="902" customWidth="1"/>
    <col min="13575" max="13575" width="10.5" style="902" customWidth="1"/>
    <col min="13576" max="13576" width="15.375" style="902" customWidth="1"/>
    <col min="13577" max="13577" width="9.5" style="902" customWidth="1"/>
    <col min="13578" max="13578" width="10.5" style="902" customWidth="1"/>
    <col min="13579" max="13824" width="9" style="902"/>
    <col min="13825" max="13825" width="9.5" style="902" customWidth="1"/>
    <col min="13826" max="13826" width="10.5" style="902" customWidth="1"/>
    <col min="13827" max="13827" width="9.5" style="902" customWidth="1"/>
    <col min="13828" max="13829" width="8.375" style="902" customWidth="1"/>
    <col min="13830" max="13830" width="9.5" style="902" customWidth="1"/>
    <col min="13831" max="13831" width="10.5" style="902" customWidth="1"/>
    <col min="13832" max="13832" width="15.375" style="902" customWidth="1"/>
    <col min="13833" max="13833" width="9.5" style="902" customWidth="1"/>
    <col min="13834" max="13834" width="10.5" style="902" customWidth="1"/>
    <col min="13835" max="14080" width="9" style="902"/>
    <col min="14081" max="14081" width="9.5" style="902" customWidth="1"/>
    <col min="14082" max="14082" width="10.5" style="902" customWidth="1"/>
    <col min="14083" max="14083" width="9.5" style="902" customWidth="1"/>
    <col min="14084" max="14085" width="8.375" style="902" customWidth="1"/>
    <col min="14086" max="14086" width="9.5" style="902" customWidth="1"/>
    <col min="14087" max="14087" width="10.5" style="902" customWidth="1"/>
    <col min="14088" max="14088" width="15.375" style="902" customWidth="1"/>
    <col min="14089" max="14089" width="9.5" style="902" customWidth="1"/>
    <col min="14090" max="14090" width="10.5" style="902" customWidth="1"/>
    <col min="14091" max="14336" width="9" style="902"/>
    <col min="14337" max="14337" width="9.5" style="902" customWidth="1"/>
    <col min="14338" max="14338" width="10.5" style="902" customWidth="1"/>
    <col min="14339" max="14339" width="9.5" style="902" customWidth="1"/>
    <col min="14340" max="14341" width="8.375" style="902" customWidth="1"/>
    <col min="14342" max="14342" width="9.5" style="902" customWidth="1"/>
    <col min="14343" max="14343" width="10.5" style="902" customWidth="1"/>
    <col min="14344" max="14344" width="15.375" style="902" customWidth="1"/>
    <col min="14345" max="14345" width="9.5" style="902" customWidth="1"/>
    <col min="14346" max="14346" width="10.5" style="902" customWidth="1"/>
    <col min="14347" max="14592" width="9" style="902"/>
    <col min="14593" max="14593" width="9.5" style="902" customWidth="1"/>
    <col min="14594" max="14594" width="10.5" style="902" customWidth="1"/>
    <col min="14595" max="14595" width="9.5" style="902" customWidth="1"/>
    <col min="14596" max="14597" width="8.375" style="902" customWidth="1"/>
    <col min="14598" max="14598" width="9.5" style="902" customWidth="1"/>
    <col min="14599" max="14599" width="10.5" style="902" customWidth="1"/>
    <col min="14600" max="14600" width="15.375" style="902" customWidth="1"/>
    <col min="14601" max="14601" width="9.5" style="902" customWidth="1"/>
    <col min="14602" max="14602" width="10.5" style="902" customWidth="1"/>
    <col min="14603" max="14848" width="9" style="902"/>
    <col min="14849" max="14849" width="9.5" style="902" customWidth="1"/>
    <col min="14850" max="14850" width="10.5" style="902" customWidth="1"/>
    <col min="14851" max="14851" width="9.5" style="902" customWidth="1"/>
    <col min="14852" max="14853" width="8.375" style="902" customWidth="1"/>
    <col min="14854" max="14854" width="9.5" style="902" customWidth="1"/>
    <col min="14855" max="14855" width="10.5" style="902" customWidth="1"/>
    <col min="14856" max="14856" width="15.375" style="902" customWidth="1"/>
    <col min="14857" max="14857" width="9.5" style="902" customWidth="1"/>
    <col min="14858" max="14858" width="10.5" style="902" customWidth="1"/>
    <col min="14859" max="15104" width="9" style="902"/>
    <col min="15105" max="15105" width="9.5" style="902" customWidth="1"/>
    <col min="15106" max="15106" width="10.5" style="902" customWidth="1"/>
    <col min="15107" max="15107" width="9.5" style="902" customWidth="1"/>
    <col min="15108" max="15109" width="8.375" style="902" customWidth="1"/>
    <col min="15110" max="15110" width="9.5" style="902" customWidth="1"/>
    <col min="15111" max="15111" width="10.5" style="902" customWidth="1"/>
    <col min="15112" max="15112" width="15.375" style="902" customWidth="1"/>
    <col min="15113" max="15113" width="9.5" style="902" customWidth="1"/>
    <col min="15114" max="15114" width="10.5" style="902" customWidth="1"/>
    <col min="15115" max="15360" width="9" style="902"/>
    <col min="15361" max="15361" width="9.5" style="902" customWidth="1"/>
    <col min="15362" max="15362" width="10.5" style="902" customWidth="1"/>
    <col min="15363" max="15363" width="9.5" style="902" customWidth="1"/>
    <col min="15364" max="15365" width="8.375" style="902" customWidth="1"/>
    <col min="15366" max="15366" width="9.5" style="902" customWidth="1"/>
    <col min="15367" max="15367" width="10.5" style="902" customWidth="1"/>
    <col min="15368" max="15368" width="15.375" style="902" customWidth="1"/>
    <col min="15369" max="15369" width="9.5" style="902" customWidth="1"/>
    <col min="15370" max="15370" width="10.5" style="902" customWidth="1"/>
    <col min="15371" max="15616" width="9" style="902"/>
    <col min="15617" max="15617" width="9.5" style="902" customWidth="1"/>
    <col min="15618" max="15618" width="10.5" style="902" customWidth="1"/>
    <col min="15619" max="15619" width="9.5" style="902" customWidth="1"/>
    <col min="15620" max="15621" width="8.375" style="902" customWidth="1"/>
    <col min="15622" max="15622" width="9.5" style="902" customWidth="1"/>
    <col min="15623" max="15623" width="10.5" style="902" customWidth="1"/>
    <col min="15624" max="15624" width="15.375" style="902" customWidth="1"/>
    <col min="15625" max="15625" width="9.5" style="902" customWidth="1"/>
    <col min="15626" max="15626" width="10.5" style="902" customWidth="1"/>
    <col min="15627" max="15872" width="9" style="902"/>
    <col min="15873" max="15873" width="9.5" style="902" customWidth="1"/>
    <col min="15874" max="15874" width="10.5" style="902" customWidth="1"/>
    <col min="15875" max="15875" width="9.5" style="902" customWidth="1"/>
    <col min="15876" max="15877" width="8.375" style="902" customWidth="1"/>
    <col min="15878" max="15878" width="9.5" style="902" customWidth="1"/>
    <col min="15879" max="15879" width="10.5" style="902" customWidth="1"/>
    <col min="15880" max="15880" width="15.375" style="902" customWidth="1"/>
    <col min="15881" max="15881" width="9.5" style="902" customWidth="1"/>
    <col min="15882" max="15882" width="10.5" style="902" customWidth="1"/>
    <col min="15883" max="16128" width="9" style="902"/>
    <col min="16129" max="16129" width="9.5" style="902" customWidth="1"/>
    <col min="16130" max="16130" width="10.5" style="902" customWidth="1"/>
    <col min="16131" max="16131" width="9.5" style="902" customWidth="1"/>
    <col min="16132" max="16133" width="8.375" style="902" customWidth="1"/>
    <col min="16134" max="16134" width="9.5" style="902" customWidth="1"/>
    <col min="16135" max="16135" width="10.5" style="902" customWidth="1"/>
    <col min="16136" max="16136" width="15.375" style="902" customWidth="1"/>
    <col min="16137" max="16137" width="9.5" style="902" customWidth="1"/>
    <col min="16138" max="16138" width="10.5" style="902" customWidth="1"/>
    <col min="16139" max="16384" width="9" style="902"/>
  </cols>
  <sheetData>
    <row r="1" ht="15.75" spans="1:11">
      <c r="A1" s="3" t="s">
        <v>880</v>
      </c>
      <c r="B1" s="3"/>
      <c r="C1" s="3"/>
      <c r="D1" s="3"/>
      <c r="E1" s="3"/>
      <c r="F1" s="3"/>
      <c r="G1" s="3"/>
      <c r="H1" s="3"/>
      <c r="I1" s="3"/>
      <c r="J1" s="3"/>
      <c r="K1" s="942"/>
    </row>
    <row r="2" ht="56.1" customHeight="1" spans="1:10">
      <c r="A2" s="903" t="str">
        <f>IF(目录!G2="中文",对照!BP2,IF(目录!G2="English",对照!BQ2,对照!BP2))</f>
        <v>模具表现评估</v>
      </c>
      <c r="B2" s="903"/>
      <c r="C2" s="903"/>
      <c r="D2" s="903"/>
      <c r="E2" s="903"/>
      <c r="F2" s="903"/>
      <c r="G2" s="903"/>
      <c r="H2" s="903"/>
      <c r="I2" s="903"/>
      <c r="J2" s="903"/>
    </row>
    <row r="3" ht="24" customHeight="1" spans="1:10">
      <c r="A3" s="904" t="str">
        <f>IF(目录!G2="中文",对照!BP3,IF(目录!G2="English",对照!BQ3,对照!BP3))</f>
        <v>模 号:</v>
      </c>
      <c r="B3" s="905"/>
      <c r="C3" s="905" t="str">
        <f>IF(目录!G2="中文",对照!BP4,IF(目录!G2="English",对照!BQ4,对照!BP4))</f>
        <v>制作工程师:</v>
      </c>
      <c r="D3" s="906"/>
      <c r="E3" s="907"/>
      <c r="F3" s="908" t="str">
        <f>IF(目录!G2="中文",对照!BP5,IF(目录!G2="English",对照!BQ5,对照!BP5))</f>
        <v>审   核:</v>
      </c>
      <c r="G3" s="909"/>
      <c r="H3" s="910"/>
      <c r="I3" s="943" t="str">
        <f>IF(目录!G2="中文",对照!AF11,IF(目录!G2="English",对照!AG11,对照!AF11))</f>
        <v>结果</v>
      </c>
      <c r="J3" s="944"/>
    </row>
    <row r="4" ht="24" customHeight="1" spans="1:10">
      <c r="A4" s="911" t="str">
        <f>IF(目录!G2="中文",对照!BP6,IF(目录!G2="English",对照!BQ6,对照!BP6))</f>
        <v>试模员:</v>
      </c>
      <c r="B4" s="912"/>
      <c r="C4" s="912" t="str">
        <f>IF(目录!G2="中文",对照!BP7,IF(目录!G2="English",对照!BQ7,对照!BP7))</f>
        <v>试模次数</v>
      </c>
      <c r="D4" s="913"/>
      <c r="E4" s="914"/>
      <c r="F4" s="915" t="str">
        <f>IF(目录!G2="中文",对照!BP8,IF(目录!G2="English",对照!BQ8,对照!BP8))</f>
        <v>试模日期:</v>
      </c>
      <c r="G4" s="916"/>
      <c r="H4" s="917"/>
      <c r="I4" s="945"/>
      <c r="J4" s="946"/>
    </row>
    <row r="5" ht="15.95" customHeight="1" spans="1:10">
      <c r="A5" s="911" t="str">
        <f>IF(目录!G2="中文",对照!BP9,IF(目录!G2="English",对照!BQ9,对照!BP9))</f>
        <v>检查项目</v>
      </c>
      <c r="B5" s="912" t="str">
        <f>IF(目录!G2="中文",对照!BP10,IF(目录!G2="English",对照!BQ10,对照!BP10))</f>
        <v>检查细则</v>
      </c>
      <c r="C5" s="912"/>
      <c r="D5" s="912"/>
      <c r="E5" s="912"/>
      <c r="F5" s="912"/>
      <c r="G5" s="918" t="str">
        <f>IF(目录!G2="中文",对照!BJ6,IF(目录!G2="English",对照!BK6,对照!BJ6))</f>
        <v>备注</v>
      </c>
      <c r="H5" s="919"/>
      <c r="I5" s="947" t="str">
        <f>IF(目录!G2="中文",对照!BP14,IF(目录!G2="English",对照!BQ14,对照!BP14))</f>
        <v>处理方法</v>
      </c>
      <c r="J5" s="948" t="str">
        <f>IF(目录!G2="中文",对照!BP13,IF(目录!G2="English",对照!BQ13,对照!BP13))</f>
        <v>签名确认</v>
      </c>
    </row>
    <row r="6" ht="15.95" customHeight="1" spans="1:10">
      <c r="A6" s="911"/>
      <c r="B6" s="912"/>
      <c r="C6" s="912"/>
      <c r="D6" s="912" t="s">
        <v>883</v>
      </c>
      <c r="E6" s="912" t="s">
        <v>884</v>
      </c>
      <c r="F6" s="912" t="s">
        <v>885</v>
      </c>
      <c r="G6" s="920"/>
      <c r="H6" s="921"/>
      <c r="I6" s="947"/>
      <c r="J6" s="948"/>
    </row>
    <row r="7" ht="36" customHeight="1" spans="1:10">
      <c r="A7" s="922" t="str">
        <f>IF(目录!G2="中文",对照!BP61,IF(目录!G2="English",对照!BQ61,对照!BP61))</f>
        <v>第一部分：模具结构信息</v>
      </c>
      <c r="B7" s="923" t="str">
        <f>IF(目录!G2="中文",对照!BP62,IF(目录!G2="English",对照!BQ62,对照!BP62))</f>
        <v>确认模具尺寸、开模行程、熔胶量、定位环规格等与注塑机匹配</v>
      </c>
      <c r="C7" s="923"/>
      <c r="D7" s="912"/>
      <c r="E7" s="912"/>
      <c r="F7" s="912"/>
      <c r="G7" s="924"/>
      <c r="H7" s="924"/>
      <c r="I7" s="947"/>
      <c r="J7" s="949"/>
    </row>
    <row r="8" ht="18" customHeight="1" spans="1:10">
      <c r="A8" s="925"/>
      <c r="B8" s="923" t="str">
        <f>IF(目录!G2="中文",对照!BP63,IF(目录!G2="English",对照!BQ63,对照!BP63))</f>
        <v>确认模具特殊注意事项</v>
      </c>
      <c r="C8" s="923"/>
      <c r="D8" s="912"/>
      <c r="E8" s="912"/>
      <c r="F8" s="912"/>
      <c r="G8" s="924"/>
      <c r="H8" s="924"/>
      <c r="I8" s="947"/>
      <c r="J8" s="950"/>
    </row>
    <row r="9" ht="18" customHeight="1" spans="1:10">
      <c r="A9" s="925"/>
      <c r="B9" s="923" t="str">
        <f>IF(目录!G2="中文",对照!BP64,IF(目录!G2="English",对照!BQ64,对照!BP64))</f>
        <v>确认水路连接方式、水管规格是否合理</v>
      </c>
      <c r="C9" s="923"/>
      <c r="D9" s="912"/>
      <c r="E9" s="912"/>
      <c r="F9" s="912"/>
      <c r="G9" s="924"/>
      <c r="H9" s="924"/>
      <c r="I9" s="947"/>
      <c r="J9" s="950"/>
    </row>
    <row r="10" ht="18" customHeight="1" spans="1:10">
      <c r="A10" s="925"/>
      <c r="B10" s="923" t="str">
        <f>IF(目录!G2="中文",对照!BP65,IF(目录!G2="English",对照!BQ65,对照!BP65))</f>
        <v>需要热流道或加热棒</v>
      </c>
      <c r="C10" s="923"/>
      <c r="D10" s="912"/>
      <c r="E10" s="912"/>
      <c r="F10" s="912"/>
      <c r="G10" s="924"/>
      <c r="H10" s="924"/>
      <c r="I10" s="947"/>
      <c r="J10" s="950"/>
    </row>
    <row r="11" ht="18" customHeight="1" spans="1:10">
      <c r="A11" s="925"/>
      <c r="B11" s="923" t="str">
        <f>IF(目录!G2="中文",对照!BP66,IF(目录!G2="English",对照!BQ66,对照!BP66))</f>
        <v>温控箱准备ok</v>
      </c>
      <c r="C11" s="923"/>
      <c r="D11" s="912"/>
      <c r="E11" s="912"/>
      <c r="F11" s="912"/>
      <c r="G11" s="924"/>
      <c r="H11" s="924"/>
      <c r="I11" s="947"/>
      <c r="J11" s="950"/>
    </row>
    <row r="12" ht="18" customHeight="1" spans="1:10">
      <c r="A12" s="925"/>
      <c r="B12" s="923" t="str">
        <f>IF(目录!G2="中文",对照!BP67,IF(目录!G2="English",对照!BQ67,对照!BP67))</f>
        <v>模具取数、模穴号位置合理</v>
      </c>
      <c r="C12" s="923"/>
      <c r="D12" s="912"/>
      <c r="E12" s="912"/>
      <c r="F12" s="912"/>
      <c r="G12" s="924"/>
      <c r="H12" s="924"/>
      <c r="I12" s="947"/>
      <c r="J12" s="950"/>
    </row>
    <row r="13" ht="18" customHeight="1" spans="1:10">
      <c r="A13" s="925"/>
      <c r="B13" s="923" t="str">
        <f>IF(目录!G2="中文",对照!BP68,IF(目录!G2="English",对照!BQ68,对照!BP68))</f>
        <v>确认材料规格型、物性表</v>
      </c>
      <c r="C13" s="923"/>
      <c r="D13" s="912"/>
      <c r="E13" s="912"/>
      <c r="F13" s="912"/>
      <c r="G13" s="924"/>
      <c r="H13" s="924"/>
      <c r="I13" s="947"/>
      <c r="J13" s="950"/>
    </row>
    <row r="14" ht="18" customHeight="1" spans="1:10">
      <c r="A14" s="925"/>
      <c r="B14" s="923" t="str">
        <f>IF(目录!G2="中文",对照!BP69,IF(目录!G2="English",对照!BQ69,对照!BP69))</f>
        <v>需要五金件</v>
      </c>
      <c r="C14" s="923"/>
      <c r="D14" s="912"/>
      <c r="E14" s="912"/>
      <c r="F14" s="912"/>
      <c r="G14" s="924"/>
      <c r="H14" s="924"/>
      <c r="I14" s="947"/>
      <c r="J14" s="950"/>
    </row>
    <row r="15" ht="18" customHeight="1" spans="1:10">
      <c r="A15" s="925"/>
      <c r="B15" s="923" t="str">
        <f>IF(目录!G2="中文",对照!BP70,IF(目录!G2="English",对照!BQ70,对照!BP70))</f>
        <v>如需要，确认五金件是否准备好</v>
      </c>
      <c r="C15" s="923"/>
      <c r="D15" s="912"/>
      <c r="E15" s="912"/>
      <c r="F15" s="912"/>
      <c r="G15" s="924"/>
      <c r="H15" s="924"/>
      <c r="I15" s="947"/>
      <c r="J15" s="950"/>
    </row>
    <row r="16" ht="18" customHeight="1" spans="1:10">
      <c r="A16" s="926"/>
      <c r="B16" s="923" t="str">
        <f>IF(目录!G2="中文",对照!BP71,IF(目录!G2="English",对照!BQ71,对照!BP71))</f>
        <v>是否封针</v>
      </c>
      <c r="C16" s="923"/>
      <c r="D16" s="912"/>
      <c r="E16" s="912"/>
      <c r="F16" s="912"/>
      <c r="G16" s="924"/>
      <c r="H16" s="924"/>
      <c r="I16" s="947"/>
      <c r="J16" s="951"/>
    </row>
    <row r="17" ht="18" customHeight="1" spans="1:10">
      <c r="A17" s="927" t="str">
        <f>IF(目录!G2="中文",对照!BP15,IF(目录!G2="English",对照!BQ15,对照!BP15))</f>
        <v>第二部分:模具动作和功能</v>
      </c>
      <c r="B17" s="928" t="str">
        <f>IF(目录!G2="中文",对照!BP16,IF(目录!G2="English",对照!BQ16,对照!BP16))</f>
        <v>开合模动作顺畅无异响</v>
      </c>
      <c r="C17" s="928"/>
      <c r="D17" s="929"/>
      <c r="E17" s="929"/>
      <c r="F17" s="929"/>
      <c r="G17" s="924"/>
      <c r="H17" s="924"/>
      <c r="I17" s="912"/>
      <c r="J17" s="952"/>
    </row>
    <row r="18" ht="18" customHeight="1" spans="1:10">
      <c r="A18" s="927"/>
      <c r="B18" s="928" t="str">
        <f>IF(目录!G2="中文",对照!BP17,IF(目录!G2="English",对照!BQ17,对照!BP17))</f>
        <v>顶出/复位顺畅无异响</v>
      </c>
      <c r="C18" s="928" t="s">
        <v>886</v>
      </c>
      <c r="D18" s="929"/>
      <c r="E18" s="929"/>
      <c r="F18" s="929"/>
      <c r="G18" s="924"/>
      <c r="H18" s="924"/>
      <c r="I18" s="912"/>
      <c r="J18" s="952"/>
    </row>
    <row r="19" ht="18" customHeight="1" spans="1:10">
      <c r="A19" s="927"/>
      <c r="B19" s="928" t="str">
        <f>IF(目录!G2="中文",对照!BP18,IF(目录!G2="English",对照!BQ18,对照!BP18))</f>
        <v>行位动作顺畅无异响</v>
      </c>
      <c r="C19" s="928" t="s">
        <v>468</v>
      </c>
      <c r="D19" s="929"/>
      <c r="E19" s="929"/>
      <c r="F19" s="929"/>
      <c r="G19" s="924"/>
      <c r="H19" s="924"/>
      <c r="I19" s="912"/>
      <c r="J19" s="952"/>
    </row>
    <row r="20" ht="18" customHeight="1" spans="1:10">
      <c r="A20" s="927"/>
      <c r="B20" s="928" t="str">
        <f>IF(目录!G2="中文",对照!BP19,IF(目录!G2="English",对照!BQ19,对照!BP19))</f>
        <v>油唧动作顺畅无异响</v>
      </c>
      <c r="C20" s="928" t="s">
        <v>484</v>
      </c>
      <c r="D20" s="929"/>
      <c r="E20" s="929"/>
      <c r="F20" s="929"/>
      <c r="G20" s="924"/>
      <c r="H20" s="924"/>
      <c r="I20" s="912"/>
      <c r="J20" s="952"/>
    </row>
    <row r="21" ht="18" customHeight="1" spans="1:10">
      <c r="A21" s="927"/>
      <c r="B21" s="928" t="str">
        <f>IF(目录!G2="中文",对照!BP20,IF(目录!G2="English",对照!BQ20,对照!BP20))</f>
        <v>热咀封针/热流道无不良</v>
      </c>
      <c r="C21" s="928" t="s">
        <v>497</v>
      </c>
      <c r="D21" s="929"/>
      <c r="E21" s="929"/>
      <c r="F21" s="929"/>
      <c r="G21" s="924"/>
      <c r="H21" s="924"/>
      <c r="I21" s="912"/>
      <c r="J21" s="952"/>
    </row>
    <row r="22" ht="18" customHeight="1" spans="1:10">
      <c r="A22" s="927"/>
      <c r="B22" s="928" t="str">
        <f>IF(目录!G2="中文",对照!BP21,IF(目录!G2="English",对照!BQ21,对照!BP21))</f>
        <v>平面顶针能转动</v>
      </c>
      <c r="C22" s="928"/>
      <c r="D22" s="929"/>
      <c r="E22" s="929"/>
      <c r="F22" s="929"/>
      <c r="G22" s="930"/>
      <c r="H22" s="931"/>
      <c r="I22" s="912"/>
      <c r="J22" s="952"/>
    </row>
    <row r="23" ht="18" customHeight="1" spans="1:10">
      <c r="A23" s="927"/>
      <c r="B23" s="928" t="str">
        <f>IF(目录!G2="中文",对照!BP22,IF(目录!G2="English",对照!BQ22,对照!BP22))</f>
        <v>产品/水口取件符合要求</v>
      </c>
      <c r="C23" s="928" t="s">
        <v>518</v>
      </c>
      <c r="D23" s="929"/>
      <c r="E23" s="929"/>
      <c r="F23" s="929"/>
      <c r="G23" s="924"/>
      <c r="H23" s="924"/>
      <c r="I23" s="912"/>
      <c r="J23" s="952"/>
    </row>
    <row r="24" ht="18" customHeight="1" spans="1:10">
      <c r="A24" s="927" t="str">
        <f>IF(目录!G2="中文",对照!BP23,IF(目录!G2="English",对照!BQ23,对照!BP23))</f>
        <v>第三部分:制作工艺</v>
      </c>
      <c r="B24" s="928" t="str">
        <f>IF(目录!G2="中文",对照!BP24,IF(目录!G2="English",对照!BQ24,对照!BP24))</f>
        <v>运水通畅不漏水</v>
      </c>
      <c r="C24" s="928"/>
      <c r="D24" s="929"/>
      <c r="E24" s="929"/>
      <c r="F24" s="929"/>
      <c r="G24" s="924"/>
      <c r="H24" s="924"/>
      <c r="I24" s="912"/>
      <c r="J24" s="952"/>
    </row>
    <row r="25" ht="18" customHeight="1" spans="1:10">
      <c r="A25" s="927"/>
      <c r="B25" s="928" t="str">
        <f>IF(目录!G2="中文",对照!BP25,IF(目录!G2="English",对照!BQ25,对照!BP25))</f>
        <v>浇口省滑不拖胶粉</v>
      </c>
      <c r="C25" s="928"/>
      <c r="D25" s="929"/>
      <c r="E25" s="929"/>
      <c r="F25" s="929"/>
      <c r="G25" s="924"/>
      <c r="H25" s="924"/>
      <c r="I25" s="912"/>
      <c r="J25" s="952"/>
    </row>
    <row r="26" ht="18" customHeight="1" spans="1:10">
      <c r="A26" s="927"/>
      <c r="B26" s="928" t="str">
        <f>IF(目录!G2="中文",对照!BP26,IF(目录!G2="English",对照!BQ26,对照!BP26))</f>
        <v>可换镶件更换方便</v>
      </c>
      <c r="C26" s="928"/>
      <c r="D26" s="929"/>
      <c r="E26" s="929"/>
      <c r="F26" s="929"/>
      <c r="G26" s="924"/>
      <c r="H26" s="924"/>
      <c r="I26" s="912"/>
      <c r="J26" s="952"/>
    </row>
    <row r="27" ht="18" customHeight="1" spans="1:10">
      <c r="A27" s="927"/>
      <c r="B27" s="928" t="str">
        <f>IF(目录!G2="中文",对照!BP27,IF(目录!G2="English",对照!BQ27,对照!BP27))</f>
        <v>氮化/涂层工件已处理OK</v>
      </c>
      <c r="C27" s="928"/>
      <c r="D27" s="929"/>
      <c r="E27" s="929"/>
      <c r="F27" s="929"/>
      <c r="G27" s="924"/>
      <c r="H27" s="924"/>
      <c r="I27" s="912"/>
      <c r="J27" s="952"/>
    </row>
    <row r="28" ht="18" customHeight="1" spans="1:10">
      <c r="A28" s="927"/>
      <c r="B28" s="928" t="str">
        <f>IF(目录!G2="中文",对照!BP28,IF(目录!G2="English",对照!BQ28,对照!BP28))</f>
        <v>斜顶不铲胶</v>
      </c>
      <c r="C28" s="928"/>
      <c r="D28" s="929"/>
      <c r="E28" s="929"/>
      <c r="F28" s="929"/>
      <c r="G28" s="924"/>
      <c r="H28" s="924"/>
      <c r="I28" s="912"/>
      <c r="J28" s="952"/>
    </row>
    <row r="29" ht="18" customHeight="1" spans="1:10">
      <c r="A29" s="927"/>
      <c r="B29" s="928" t="str">
        <f>IF(目录!G2="中文",对照!BP29,IF(目录!G2="English",对照!BQ29,对照!BP29))</f>
        <v>行位有限位装置</v>
      </c>
      <c r="C29" s="928"/>
      <c r="D29" s="929"/>
      <c r="E29" s="929"/>
      <c r="F29" s="929"/>
      <c r="G29" s="924"/>
      <c r="H29" s="924"/>
      <c r="I29" s="912"/>
      <c r="J29" s="952"/>
    </row>
    <row r="30" ht="18" customHeight="1" spans="1:10">
      <c r="A30" s="927"/>
      <c r="B30" s="928" t="str">
        <f>IF(目录!G2="中文",对照!BP30,IF(目录!G2="English",对照!BQ30,对照!BP30))</f>
        <v>水口出模顺畅不粘模</v>
      </c>
      <c r="C30" s="928"/>
      <c r="D30" s="929"/>
      <c r="E30" s="929"/>
      <c r="F30" s="929"/>
      <c r="G30" s="930"/>
      <c r="H30" s="931"/>
      <c r="I30" s="912"/>
      <c r="J30" s="952"/>
    </row>
    <row r="31" ht="18" customHeight="1" spans="1:10">
      <c r="A31" s="927"/>
      <c r="B31" s="928" t="str">
        <f>IF(目录!G2="中文",对照!BP31,IF(目录!G2="English",对照!BQ31,对照!BP31))</f>
        <v>产品出模顺畅不粘模</v>
      </c>
      <c r="C31" s="928"/>
      <c r="D31" s="929"/>
      <c r="E31" s="929"/>
      <c r="F31" s="929"/>
      <c r="G31" s="924"/>
      <c r="H31" s="924"/>
      <c r="I31" s="912"/>
      <c r="J31" s="952"/>
    </row>
    <row r="32" ht="18" customHeight="1" spans="1:10">
      <c r="A32" s="927"/>
      <c r="B32" s="928" t="str">
        <f>IF(目录!G2="中文",对照!BP32,IF(目录!G2="English",对照!BQ32,对照!BP32))</f>
        <v>产品字唛做妥符合要求</v>
      </c>
      <c r="C32" s="928"/>
      <c r="D32" s="929"/>
      <c r="E32" s="929"/>
      <c r="F32" s="929"/>
      <c r="G32" s="924"/>
      <c r="H32" s="924"/>
      <c r="I32" s="912"/>
      <c r="J32" s="952"/>
    </row>
    <row r="33" ht="18" customHeight="1" spans="1:10">
      <c r="A33" s="927"/>
      <c r="B33" s="928" t="str">
        <f>IF(目录!G2="中文",对照!BP33,IF(目录!G2="English",对照!BQ33,对照!BP33))</f>
        <v>顶针印无披锋/不凸起</v>
      </c>
      <c r="C33" s="928"/>
      <c r="D33" s="929"/>
      <c r="E33" s="929"/>
      <c r="F33" s="929"/>
      <c r="G33" s="924"/>
      <c r="H33" s="924"/>
      <c r="I33" s="912"/>
      <c r="J33" s="952"/>
    </row>
    <row r="34" ht="18" customHeight="1" spans="1:10">
      <c r="A34" s="927" t="str">
        <f>IF(目录!G2="中文",对照!BP34,IF(目录!G2="English",对照!BQ34,对照!BP34))</f>
        <v>第四部分:设备接驳和操作性能</v>
      </c>
      <c r="B34" s="928" t="str">
        <f>IF(目录!G2="中文",对照!BP35,IF(目录!G2="English",对照!BQ35,对照!BP35))</f>
        <v>喉咀接驳方便无阻碍</v>
      </c>
      <c r="C34" s="928"/>
      <c r="D34" s="929"/>
      <c r="E34" s="929"/>
      <c r="F34" s="929"/>
      <c r="G34" s="924"/>
      <c r="H34" s="924"/>
      <c r="I34" s="912"/>
      <c r="J34" s="952"/>
    </row>
    <row r="35" ht="18" customHeight="1" spans="1:10">
      <c r="A35" s="927"/>
      <c r="B35" s="928" t="str">
        <f>IF(目录!G2="中文",对照!BP36,IF(目录!G2="English",对照!BQ36,对照!BP36))</f>
        <v>电源接驳安全无阻碍</v>
      </c>
      <c r="C35" s="928"/>
      <c r="D35" s="929"/>
      <c r="E35" s="929"/>
      <c r="F35" s="929"/>
      <c r="G35" s="924"/>
      <c r="H35" s="924"/>
      <c r="I35" s="912"/>
      <c r="J35" s="952"/>
    </row>
    <row r="36" ht="18" customHeight="1" spans="1:10">
      <c r="A36" s="927"/>
      <c r="B36" s="928" t="str">
        <f>IF(目录!G2="中文",对照!BP37,IF(目录!G2="English",对照!BQ37,对照!BP37))</f>
        <v>水油气接驳方便无阻碍</v>
      </c>
      <c r="C36" s="928"/>
      <c r="D36" s="929"/>
      <c r="E36" s="929"/>
      <c r="F36" s="929"/>
      <c r="G36" s="924"/>
      <c r="H36" s="924"/>
      <c r="I36" s="912"/>
      <c r="J36" s="952"/>
    </row>
    <row r="37" ht="18" customHeight="1" spans="1:10">
      <c r="A37" s="927"/>
      <c r="B37" s="928" t="str">
        <f>IF(目录!G2="中文",对照!BP38,IF(目录!G2="English",对照!BQ38,对照!BP38))</f>
        <v>咭掣接驳方便无阻碍</v>
      </c>
      <c r="C37" s="928"/>
      <c r="D37" s="929"/>
      <c r="E37" s="929"/>
      <c r="F37" s="929"/>
      <c r="G37" s="924"/>
      <c r="H37" s="924"/>
      <c r="I37" s="912"/>
      <c r="J37" s="952"/>
    </row>
    <row r="38" ht="18" customHeight="1" spans="1:10">
      <c r="A38" s="927"/>
      <c r="B38" s="928" t="str">
        <f>IF(目录!G2="中文",对照!BP39,IF(目录!G2="English",对照!BQ39,对照!BP39))</f>
        <v>模具与啤机无溢胶</v>
      </c>
      <c r="C38" s="928"/>
      <c r="D38" s="929"/>
      <c r="E38" s="929"/>
      <c r="F38" s="929"/>
      <c r="G38" s="924"/>
      <c r="H38" s="924"/>
      <c r="I38" s="912"/>
      <c r="J38" s="952"/>
    </row>
    <row r="39" ht="18" customHeight="1" spans="1:10">
      <c r="A39" s="927"/>
      <c r="B39" s="928" t="str">
        <f>IF(目录!G2="中文",对照!BP40,IF(目录!G2="English",对照!BQ40,对照!BP40))</f>
        <v>模具吊装上落模安全方便</v>
      </c>
      <c r="C39" s="928"/>
      <c r="D39" s="929"/>
      <c r="E39" s="929"/>
      <c r="F39" s="929"/>
      <c r="G39" s="924"/>
      <c r="H39" s="924"/>
      <c r="I39" s="912"/>
      <c r="J39" s="952"/>
    </row>
    <row r="40" ht="18" customHeight="1" spans="1:10">
      <c r="A40" s="927"/>
      <c r="B40" s="928" t="str">
        <f>IF(目录!G2="中文",对照!BP41,IF(目录!G2="English",对照!BQ41,对照!BP41))</f>
        <v>各保护咭掣能正常使用</v>
      </c>
      <c r="C40" s="928"/>
      <c r="D40" s="929"/>
      <c r="E40" s="929"/>
      <c r="F40" s="929"/>
      <c r="G40" s="924"/>
      <c r="H40" s="924"/>
      <c r="I40" s="912"/>
      <c r="J40" s="952"/>
    </row>
    <row r="41" ht="18" customHeight="1" spans="1:10">
      <c r="A41" s="922" t="str">
        <f>IF(目录!G2="中文",对照!BP42,IF(目录!G2="English",对照!BQ42,对照!BP42))</f>
        <v>第五部分:注塑工艺</v>
      </c>
      <c r="B41" s="932" t="str">
        <f>IF(目录!G2="中文",对照!BP43,IF(目录!G2="English",对照!BQ43,对照!BP43))</f>
        <v>锁模力符合要求</v>
      </c>
      <c r="C41" s="933"/>
      <c r="D41" s="929"/>
      <c r="E41" s="929"/>
      <c r="F41" s="929"/>
      <c r="G41" s="930" t="s">
        <v>887</v>
      </c>
      <c r="H41" s="931"/>
      <c r="I41" s="912"/>
      <c r="J41" s="953"/>
    </row>
    <row r="42" ht="18" customHeight="1" spans="1:10">
      <c r="A42" s="925"/>
      <c r="B42" s="932" t="str">
        <f>IF(目录!G2="中文",对照!BP44,IF(目录!G2="English",对照!BQ44,对照!BP44))</f>
        <v>注塑周期符合要求</v>
      </c>
      <c r="C42" s="933"/>
      <c r="D42" s="929"/>
      <c r="E42" s="929"/>
      <c r="F42" s="929"/>
      <c r="G42" s="924"/>
      <c r="H42" s="924"/>
      <c r="I42" s="912"/>
      <c r="J42" s="954"/>
    </row>
    <row r="43" ht="18" customHeight="1" spans="1:10">
      <c r="A43" s="925"/>
      <c r="B43" s="932" t="str">
        <f>IF(目录!G2="中文",对照!BP45,IF(目录!G2="English",对照!BQ45,对照!BP45))</f>
        <v>注塑工艺窗宽，工艺条件仍可上下浮动范围±10%</v>
      </c>
      <c r="C43" s="933"/>
      <c r="D43" s="929"/>
      <c r="E43" s="929"/>
      <c r="F43" s="929"/>
      <c r="G43" s="924"/>
      <c r="H43" s="924"/>
      <c r="I43" s="912"/>
      <c r="J43" s="954"/>
    </row>
    <row r="44" ht="18" customHeight="1" spans="1:10">
      <c r="A44" s="925"/>
      <c r="B44" s="932" t="str">
        <f>IF(目录!G2="中文",对照!BP46,IF(目录!G2="English",对照!BQ46,对照!BP46))</f>
        <v>2腔及以上走胶平衡测试</v>
      </c>
      <c r="C44" s="933"/>
      <c r="D44" s="929"/>
      <c r="E44" s="929"/>
      <c r="F44" s="929"/>
      <c r="G44" s="934"/>
      <c r="H44" s="934"/>
      <c r="I44" s="955"/>
      <c r="J44" s="954"/>
    </row>
    <row r="45" ht="18" customHeight="1" spans="1:10">
      <c r="A45" s="926"/>
      <c r="B45" s="932" t="str">
        <f>IF(目录!G2="中文",对照!BP47,IF(目录!G2="English",对照!BQ47,对照!BP47))</f>
        <v>模温和料温是否参照《胶料物性表》设定</v>
      </c>
      <c r="C45" s="933"/>
      <c r="D45" s="929"/>
      <c r="E45" s="929"/>
      <c r="F45" s="929"/>
      <c r="G45" s="924"/>
      <c r="H45" s="924"/>
      <c r="I45" s="955"/>
      <c r="J45" s="956"/>
    </row>
    <row r="46" ht="18" customHeight="1" spans="1:10">
      <c r="A46" s="922" t="str">
        <f>IF(目录!G2="中文",对照!BP48,IF(目录!G2="English",对照!BQ48,对照!BP48))</f>
        <v>第六部分:客户标准</v>
      </c>
      <c r="B46" s="932" t="str">
        <f>IF(目录!G2="中文",对照!BP49,IF(目录!G2="English",对照!BQ49,对照!BP49))</f>
        <v>注塑机台是否符合要求</v>
      </c>
      <c r="C46" s="933"/>
      <c r="D46" s="929"/>
      <c r="E46" s="929"/>
      <c r="F46" s="929"/>
      <c r="G46" s="930" t="s">
        <v>887</v>
      </c>
      <c r="H46" s="931"/>
      <c r="I46" s="955"/>
      <c r="J46" s="953"/>
    </row>
    <row r="47" ht="18" customHeight="1" spans="1:10">
      <c r="A47" s="925"/>
      <c r="B47" s="932" t="str">
        <f>IF(目录!G2="中文",对照!BP50,IF(目录!G2="English",对照!BQ50,对照!BP50))</f>
        <v>模具的顶出系统复位是否符合客户要求   </v>
      </c>
      <c r="C47" s="933"/>
      <c r="D47" s="929"/>
      <c r="E47" s="935"/>
      <c r="F47" s="935"/>
      <c r="G47" s="930" t="s">
        <v>887</v>
      </c>
      <c r="H47" s="931"/>
      <c r="I47" s="955"/>
      <c r="J47" s="954"/>
    </row>
    <row r="48" ht="18" customHeight="1" spans="1:10">
      <c r="A48" s="927" t="str">
        <f>IF(目录!G2="中文",对照!BP51,IF(目录!G2="English",对照!BQ51,对照!BP51))</f>
        <v>第七部分:产品质量</v>
      </c>
      <c r="B48" s="928" t="str">
        <f>IF(目录!G2="中文",对照!BP52,IF(目录!G2="English",对照!BQ52,对照!BP52))</f>
        <v>产品外观无缺陷</v>
      </c>
      <c r="C48" s="928"/>
      <c r="D48" s="929"/>
      <c r="E48" s="935"/>
      <c r="F48" s="935"/>
      <c r="G48" s="924"/>
      <c r="H48" s="924"/>
      <c r="I48" s="955"/>
      <c r="J48" s="952"/>
    </row>
    <row r="49" ht="18" customHeight="1" spans="1:10">
      <c r="A49" s="927"/>
      <c r="B49" s="928" t="str">
        <f>IF(目录!G2="中文",对照!BP53,IF(目录!G2="English",对照!BQ53,对照!BP53))</f>
        <v>产品结构与3D相符</v>
      </c>
      <c r="C49" s="928"/>
      <c r="D49" s="929"/>
      <c r="E49" s="935"/>
      <c r="F49" s="935"/>
      <c r="G49" s="924"/>
      <c r="H49" s="924"/>
      <c r="I49" s="955"/>
      <c r="J49" s="952"/>
    </row>
    <row r="50" ht="18" customHeight="1" spans="1:10">
      <c r="A50" s="936" t="str">
        <f>IF(目录!G2="中文",对照!BP54,IF(目录!G2="English",对照!BQ54,对照!BP54))</f>
        <v>第八部分:模具表面外观确认</v>
      </c>
      <c r="B50" s="923" t="str">
        <f>IF(目录!G2="中文",对照!BP55,IF(目录!G2="English",对照!BQ55,对照!BP55))</f>
        <v>蚀纹模具外观确认</v>
      </c>
      <c r="C50" s="928" t="str">
        <f>IF(目录!G2="中文",对照!BP57,IF(目录!G2="English",对照!BQ57,对照!BP57))</f>
        <v>试模前</v>
      </c>
      <c r="D50" s="929"/>
      <c r="E50" s="929"/>
      <c r="F50" s="929"/>
      <c r="G50" s="924"/>
      <c r="H50" s="924"/>
      <c r="I50" s="912"/>
      <c r="J50" s="952"/>
    </row>
    <row r="51" ht="18" customHeight="1" spans="1:10">
      <c r="A51" s="936"/>
      <c r="B51" s="928"/>
      <c r="C51" s="928" t="str">
        <f>IF(目录!G2="中文",对照!BP58,IF(目录!G2="English",对照!BQ58,对照!BP58))</f>
        <v>试模后</v>
      </c>
      <c r="D51" s="929"/>
      <c r="E51" s="929"/>
      <c r="F51" s="929"/>
      <c r="G51" s="924"/>
      <c r="H51" s="924"/>
      <c r="I51" s="912"/>
      <c r="J51" s="952"/>
    </row>
    <row r="52" ht="18" customHeight="1" spans="1:10">
      <c r="A52" s="936"/>
      <c r="B52" s="923" t="str">
        <f>IF(目录!G2="中文",对照!BP56,IF(目录!G2="English",对照!BQ56,对照!BP56))</f>
        <v>抛光模具外观确认</v>
      </c>
      <c r="C52" s="928" t="str">
        <f>IF(目录!G2="中文",对照!BP57,IF(目录!G2="English",对照!BQ57,对照!BP57))</f>
        <v>试模前</v>
      </c>
      <c r="D52" s="929"/>
      <c r="E52" s="929"/>
      <c r="F52" s="929"/>
      <c r="G52" s="924"/>
      <c r="H52" s="924"/>
      <c r="I52" s="912"/>
      <c r="J52" s="952"/>
    </row>
    <row r="53" ht="18" customHeight="1" spans="1:10">
      <c r="A53" s="936"/>
      <c r="B53" s="928"/>
      <c r="C53" s="928" t="str">
        <f>IF(目录!G2="中文",对照!BP58,IF(目录!G2="English",对照!BQ58,对照!BP58))</f>
        <v>试模后</v>
      </c>
      <c r="D53" s="929"/>
      <c r="E53" s="929"/>
      <c r="F53" s="929"/>
      <c r="G53" s="924"/>
      <c r="H53" s="924"/>
      <c r="I53" s="912"/>
      <c r="J53" s="952"/>
    </row>
    <row r="54" ht="104.1" customHeight="1" spans="1:10">
      <c r="A54" s="937" t="str">
        <f>IF(目录!G2="中文",对照!BP59,IF(目录!G2="English",对照!BQ59,对照!BP59))</f>
        <v>说明:</v>
      </c>
      <c r="B54" s="938" t="str">
        <f>IF(目录!G2="中文",对照!BP60,IF(目录!G2="English",对照!BQ60,对照!BP60))</f>
        <v>1、表中的第一部分到第五部分的内容需要由试模员检查完成并记录签名确认；
2、表中的第六部分到第七部分的内容需要由制作工程师检查完成并记录签名确认；
3、所有检查NG的项目，由制作工程师在“备注”栏做NG内容描述以及决定NG内容的处理方法，并将其处理方式的代码填于“处理方法及项目号”栏中；NG项处理方法：A、修模/改模  B、走模前完成  C、让步接收；
4、若用修模/改模处理方法，需将&lt;修模/改模工作单&gt;中对应的项目号填写于“处理方法及项目号”栏；
5、模具动作检查时需按快、中、慢三种速度进行设定,一旦发生模具结构/动作问题,制作工程师应按要求组织相关人员检讨/改善；
6、所有项目检查完成后由制作工程师交制作经理审核后存档。</v>
      </c>
      <c r="C54" s="939"/>
      <c r="D54" s="939"/>
      <c r="E54" s="939"/>
      <c r="F54" s="939"/>
      <c r="G54" s="939"/>
      <c r="H54" s="939"/>
      <c r="I54" s="939"/>
      <c r="J54" s="957"/>
    </row>
    <row r="55" ht="15.95" customHeight="1" spans="1:10">
      <c r="A55" s="940"/>
      <c r="B55" s="941"/>
      <c r="C55" s="941"/>
      <c r="D55" s="941"/>
      <c r="E55" s="941"/>
      <c r="F55" s="941"/>
      <c r="G55" s="941"/>
      <c r="H55" s="941"/>
      <c r="I55" s="941" t="s">
        <v>888</v>
      </c>
      <c r="J55" s="940" t="s">
        <v>889</v>
      </c>
    </row>
  </sheetData>
  <sheetProtection formatCells="0"/>
  <mergeCells count="124">
    <mergeCell ref="A1:J1"/>
    <mergeCell ref="A2:J2"/>
    <mergeCell ref="D3:E3"/>
    <mergeCell ref="F3:G3"/>
    <mergeCell ref="D4:E4"/>
    <mergeCell ref="F4:G4"/>
    <mergeCell ref="D5:F5"/>
    <mergeCell ref="B7:C7"/>
    <mergeCell ref="G7:H7"/>
    <mergeCell ref="B8:C8"/>
    <mergeCell ref="G8:H8"/>
    <mergeCell ref="B9:C9"/>
    <mergeCell ref="G9:H9"/>
    <mergeCell ref="B10:C10"/>
    <mergeCell ref="G10:H10"/>
    <mergeCell ref="B11:C11"/>
    <mergeCell ref="G11:H11"/>
    <mergeCell ref="B12:C12"/>
    <mergeCell ref="G12:H12"/>
    <mergeCell ref="B13:C13"/>
    <mergeCell ref="G13:H13"/>
    <mergeCell ref="B14:C14"/>
    <mergeCell ref="G14:H14"/>
    <mergeCell ref="B15:C15"/>
    <mergeCell ref="G15:H15"/>
    <mergeCell ref="B16:C16"/>
    <mergeCell ref="G16:H16"/>
    <mergeCell ref="B17:C17"/>
    <mergeCell ref="G17:H17"/>
    <mergeCell ref="B18:C18"/>
    <mergeCell ref="G18:H18"/>
    <mergeCell ref="B19:C19"/>
    <mergeCell ref="G19:H19"/>
    <mergeCell ref="B20:C20"/>
    <mergeCell ref="G20:H20"/>
    <mergeCell ref="B21:C21"/>
    <mergeCell ref="G21:H21"/>
    <mergeCell ref="B22:C22"/>
    <mergeCell ref="G22:H22"/>
    <mergeCell ref="B23:C23"/>
    <mergeCell ref="G23:H23"/>
    <mergeCell ref="B24:C24"/>
    <mergeCell ref="G24:H24"/>
    <mergeCell ref="B25:C25"/>
    <mergeCell ref="G25:H25"/>
    <mergeCell ref="B26:C26"/>
    <mergeCell ref="G26:H26"/>
    <mergeCell ref="B27:C27"/>
    <mergeCell ref="G27:H27"/>
    <mergeCell ref="B28:C28"/>
    <mergeCell ref="G28:H28"/>
    <mergeCell ref="B29:C29"/>
    <mergeCell ref="G29:H29"/>
    <mergeCell ref="B30:C30"/>
    <mergeCell ref="G30:H30"/>
    <mergeCell ref="B31:C31"/>
    <mergeCell ref="G31:H31"/>
    <mergeCell ref="B32:C32"/>
    <mergeCell ref="G32:H32"/>
    <mergeCell ref="B33:C33"/>
    <mergeCell ref="G33:H33"/>
    <mergeCell ref="B34:C34"/>
    <mergeCell ref="G34:H34"/>
    <mergeCell ref="B35:C35"/>
    <mergeCell ref="G35:H35"/>
    <mergeCell ref="B36:C36"/>
    <mergeCell ref="G36:H36"/>
    <mergeCell ref="B37:C37"/>
    <mergeCell ref="G37:H37"/>
    <mergeCell ref="B38:C38"/>
    <mergeCell ref="G38:H38"/>
    <mergeCell ref="B39:C39"/>
    <mergeCell ref="G39:H39"/>
    <mergeCell ref="B40:C40"/>
    <mergeCell ref="G40:H40"/>
    <mergeCell ref="B41:C41"/>
    <mergeCell ref="G41:H41"/>
    <mergeCell ref="B42:C42"/>
    <mergeCell ref="G42:H42"/>
    <mergeCell ref="B43:C43"/>
    <mergeCell ref="G43:H43"/>
    <mergeCell ref="B44:C44"/>
    <mergeCell ref="G44:H44"/>
    <mergeCell ref="B45:C45"/>
    <mergeCell ref="G45:H45"/>
    <mergeCell ref="B46:C46"/>
    <mergeCell ref="G46:H46"/>
    <mergeCell ref="B47:C47"/>
    <mergeCell ref="G47:H47"/>
    <mergeCell ref="B48:C48"/>
    <mergeCell ref="G48:H48"/>
    <mergeCell ref="B49:C49"/>
    <mergeCell ref="G49:H49"/>
    <mergeCell ref="G50:H50"/>
    <mergeCell ref="G51:H51"/>
    <mergeCell ref="G52:H52"/>
    <mergeCell ref="G53:H53"/>
    <mergeCell ref="B54:J54"/>
    <mergeCell ref="A5:A6"/>
    <mergeCell ref="A7:A16"/>
    <mergeCell ref="A17:A23"/>
    <mergeCell ref="A24:A33"/>
    <mergeCell ref="A34:A40"/>
    <mergeCell ref="A41:A45"/>
    <mergeCell ref="A46:A47"/>
    <mergeCell ref="A48:A49"/>
    <mergeCell ref="A50:A53"/>
    <mergeCell ref="B50:B51"/>
    <mergeCell ref="B52:B53"/>
    <mergeCell ref="I3:I4"/>
    <mergeCell ref="I5:I6"/>
    <mergeCell ref="J3:J4"/>
    <mergeCell ref="J5:J6"/>
    <mergeCell ref="J7:J16"/>
    <mergeCell ref="J17:J23"/>
    <mergeCell ref="J24:J33"/>
    <mergeCell ref="J34:J40"/>
    <mergeCell ref="J41:J45"/>
    <mergeCell ref="J46:J47"/>
    <mergeCell ref="J48:J49"/>
    <mergeCell ref="J50:J51"/>
    <mergeCell ref="J52:J53"/>
    <mergeCell ref="B5:C6"/>
    <mergeCell ref="G5:H6"/>
  </mergeCells>
  <hyperlinks>
    <hyperlink ref="A1" location="Catalogue!A1" display="Back"/>
    <hyperlink ref="A1:J1" location="目录!A1" display="Back"/>
  </hyperlinks>
  <printOptions horizontalCentered="1"/>
  <pageMargins left="0" right="0" top="0" bottom="0" header="0" footer="0"/>
  <pageSetup paperSize="9" scale="87" orientation="portrait"/>
  <headerFooter alignWithMargins="0"/>
  <ignoredErrors>
    <ignoredError sqref="A2" unlockedFormula="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I180"/>
  <sheetViews>
    <sheetView view="pageBreakPreview" zoomScale="85" zoomScaleNormal="85" workbookViewId="0">
      <selection activeCell="A3" sqref="A3:BH3"/>
    </sheetView>
  </sheetViews>
  <sheetFormatPr defaultColWidth="9" defaultRowHeight="16.5"/>
  <cols>
    <col min="1" max="33" width="2.125" style="634" customWidth="1"/>
    <col min="34" max="34" width="6.025" style="634" customWidth="1"/>
    <col min="35" max="35" width="2.125" style="634" customWidth="1"/>
    <col min="36" max="36" width="5.88333333333333" style="634" customWidth="1"/>
    <col min="37" max="60" width="2.125" style="634" customWidth="1"/>
    <col min="61" max="16384" width="9" style="634"/>
  </cols>
  <sheetData>
    <row r="1" ht="15.75" spans="1:60">
      <c r="A1" s="3" t="s">
        <v>880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row>
    <row r="2" ht="30" spans="1:61">
      <c r="A2" s="635" t="str">
        <f>IF(目录!G2="中文",对照!Z2,IF(目录!G2="English",对照!AA2,对照!Z2))</f>
        <v>试模参数记录表</v>
      </c>
      <c r="B2" s="636"/>
      <c r="C2" s="636"/>
      <c r="D2" s="636"/>
      <c r="E2" s="636"/>
      <c r="F2" s="636"/>
      <c r="G2" s="636"/>
      <c r="H2" s="636"/>
      <c r="I2" s="636"/>
      <c r="J2" s="636"/>
      <c r="K2" s="636"/>
      <c r="L2" s="636"/>
      <c r="M2" s="636"/>
      <c r="N2" s="636"/>
      <c r="O2" s="636"/>
      <c r="P2" s="636"/>
      <c r="Q2" s="636"/>
      <c r="R2" s="636"/>
      <c r="S2" s="636"/>
      <c r="T2" s="636"/>
      <c r="U2" s="636"/>
      <c r="V2" s="636"/>
      <c r="W2" s="636"/>
      <c r="X2" s="636"/>
      <c r="Y2" s="636"/>
      <c r="Z2" s="636"/>
      <c r="AA2" s="636"/>
      <c r="AB2" s="636"/>
      <c r="AC2" s="636"/>
      <c r="AD2" s="636"/>
      <c r="AE2" s="636"/>
      <c r="AF2" s="636"/>
      <c r="AG2" s="636"/>
      <c r="AH2" s="636"/>
      <c r="AI2" s="636"/>
      <c r="AJ2" s="636"/>
      <c r="AK2" s="636"/>
      <c r="AL2" s="636"/>
      <c r="AM2" s="636"/>
      <c r="AN2" s="636"/>
      <c r="AO2" s="636"/>
      <c r="AP2" s="636"/>
      <c r="AQ2" s="636"/>
      <c r="AR2" s="636"/>
      <c r="AS2" s="636"/>
      <c r="AT2" s="636"/>
      <c r="AU2" s="636"/>
      <c r="AV2" s="636"/>
      <c r="AW2" s="636"/>
      <c r="AX2" s="636"/>
      <c r="AY2" s="636"/>
      <c r="AZ2" s="636"/>
      <c r="BA2" s="636"/>
      <c r="BB2" s="636"/>
      <c r="BC2" s="636"/>
      <c r="BD2" s="636"/>
      <c r="BE2" s="636"/>
      <c r="BF2" s="636"/>
      <c r="BG2" s="636"/>
      <c r="BH2" s="636"/>
      <c r="BI2" s="762"/>
    </row>
    <row r="3" ht="24" customHeight="1" spans="1:60">
      <c r="A3" s="637" t="str">
        <f>IF(目录!G2="中文",对照!Z3,IF(目录!G2="English",对照!AA3,对照!Z3))</f>
        <v>基本信息</v>
      </c>
      <c r="B3" s="638"/>
      <c r="C3" s="638"/>
      <c r="D3" s="638"/>
      <c r="E3" s="638"/>
      <c r="F3" s="638"/>
      <c r="G3" s="638"/>
      <c r="H3" s="638"/>
      <c r="I3" s="638"/>
      <c r="J3" s="638"/>
      <c r="K3" s="638"/>
      <c r="L3" s="638"/>
      <c r="M3" s="638"/>
      <c r="N3" s="638"/>
      <c r="O3" s="638"/>
      <c r="P3" s="638"/>
      <c r="Q3" s="638"/>
      <c r="R3" s="638"/>
      <c r="S3" s="638"/>
      <c r="T3" s="638"/>
      <c r="U3" s="638"/>
      <c r="V3" s="638"/>
      <c r="W3" s="638"/>
      <c r="X3" s="638"/>
      <c r="Y3" s="638"/>
      <c r="Z3" s="638"/>
      <c r="AA3" s="638"/>
      <c r="AB3" s="638"/>
      <c r="AC3" s="638"/>
      <c r="AD3" s="638"/>
      <c r="AE3" s="638"/>
      <c r="AF3" s="638"/>
      <c r="AG3" s="638"/>
      <c r="AH3" s="638"/>
      <c r="AI3" s="638"/>
      <c r="AJ3" s="638"/>
      <c r="AK3" s="638"/>
      <c r="AL3" s="638"/>
      <c r="AM3" s="638"/>
      <c r="AN3" s="638"/>
      <c r="AO3" s="638"/>
      <c r="AP3" s="638"/>
      <c r="AQ3" s="638"/>
      <c r="AR3" s="638"/>
      <c r="AS3" s="638"/>
      <c r="AT3" s="638"/>
      <c r="AU3" s="638"/>
      <c r="AV3" s="638"/>
      <c r="AW3" s="638"/>
      <c r="AX3" s="638"/>
      <c r="AY3" s="638"/>
      <c r="AZ3" s="638"/>
      <c r="BA3" s="638"/>
      <c r="BB3" s="638"/>
      <c r="BC3" s="638"/>
      <c r="BD3" s="638"/>
      <c r="BE3" s="638"/>
      <c r="BF3" s="638"/>
      <c r="BG3" s="638"/>
      <c r="BH3" s="763"/>
    </row>
    <row r="4" ht="15.95" customHeight="1" spans="1:60">
      <c r="A4" s="639" t="s">
        <v>890</v>
      </c>
      <c r="B4" s="640"/>
      <c r="C4" s="640"/>
      <c r="D4" s="640"/>
      <c r="E4" s="640"/>
      <c r="F4" s="640"/>
      <c r="G4" s="640"/>
      <c r="H4" s="640"/>
      <c r="I4" s="701"/>
      <c r="J4" s="702"/>
      <c r="K4" s="702"/>
      <c r="L4" s="702"/>
      <c r="M4" s="702"/>
      <c r="N4" s="702"/>
      <c r="O4" s="702"/>
      <c r="P4" s="702"/>
      <c r="Q4" s="702"/>
      <c r="R4" s="702"/>
      <c r="S4" s="702"/>
      <c r="T4" s="722"/>
      <c r="U4" s="723" t="s">
        <v>265</v>
      </c>
      <c r="V4" s="724"/>
      <c r="W4" s="724"/>
      <c r="X4" s="724"/>
      <c r="Y4" s="724"/>
      <c r="Z4" s="724"/>
      <c r="AA4" s="724"/>
      <c r="AB4" s="740"/>
      <c r="AC4" s="741"/>
      <c r="AD4" s="742"/>
      <c r="AE4" s="742"/>
      <c r="AF4" s="742"/>
      <c r="AG4" s="742"/>
      <c r="AH4" s="742"/>
      <c r="AI4" s="742"/>
      <c r="AJ4" s="742"/>
      <c r="AK4" s="742"/>
      <c r="AL4" s="742"/>
      <c r="AM4" s="742"/>
      <c r="AN4" s="748"/>
      <c r="AO4" s="658" t="s">
        <v>891</v>
      </c>
      <c r="AP4" s="658"/>
      <c r="AQ4" s="658"/>
      <c r="AR4" s="658"/>
      <c r="AS4" s="658"/>
      <c r="AT4" s="658"/>
      <c r="AU4" s="658"/>
      <c r="AV4" s="658"/>
      <c r="AW4" s="742"/>
      <c r="AX4" s="742"/>
      <c r="AY4" s="742"/>
      <c r="AZ4" s="742"/>
      <c r="BA4" s="742"/>
      <c r="BB4" s="742"/>
      <c r="BC4" s="742"/>
      <c r="BD4" s="742"/>
      <c r="BE4" s="742"/>
      <c r="BF4" s="742"/>
      <c r="BG4" s="742"/>
      <c r="BH4" s="764"/>
    </row>
    <row r="5" ht="15.95" customHeight="1" spans="1:60">
      <c r="A5" s="641" t="s">
        <v>405</v>
      </c>
      <c r="B5" s="642"/>
      <c r="C5" s="642"/>
      <c r="D5" s="642"/>
      <c r="E5" s="642"/>
      <c r="F5" s="642"/>
      <c r="G5" s="642"/>
      <c r="H5" s="642"/>
      <c r="I5" s="703"/>
      <c r="J5" s="704"/>
      <c r="K5" s="704"/>
      <c r="L5" s="704"/>
      <c r="M5" s="704"/>
      <c r="N5" s="704"/>
      <c r="O5" s="704"/>
      <c r="P5" s="704"/>
      <c r="Q5" s="725" t="s">
        <v>892</v>
      </c>
      <c r="R5" s="725"/>
      <c r="S5" s="725"/>
      <c r="T5" s="725"/>
      <c r="U5" s="642" t="s">
        <v>162</v>
      </c>
      <c r="V5" s="642"/>
      <c r="W5" s="642"/>
      <c r="X5" s="642"/>
      <c r="Y5" s="642"/>
      <c r="Z5" s="642"/>
      <c r="AA5" s="642"/>
      <c r="AB5" s="642"/>
      <c r="AC5" s="704"/>
      <c r="AD5" s="704"/>
      <c r="AE5" s="704"/>
      <c r="AF5" s="704"/>
      <c r="AG5" s="704"/>
      <c r="AH5" s="704"/>
      <c r="AI5" s="704"/>
      <c r="AJ5" s="704"/>
      <c r="AK5" s="704"/>
      <c r="AL5" s="704"/>
      <c r="AM5" s="704"/>
      <c r="AN5" s="749"/>
      <c r="AO5" s="756"/>
      <c r="AP5" s="757"/>
      <c r="AQ5" s="757"/>
      <c r="AR5" s="757"/>
      <c r="AS5" s="757"/>
      <c r="AT5" s="757"/>
      <c r="AU5" s="757"/>
      <c r="AV5" s="757"/>
      <c r="AW5" s="757"/>
      <c r="AX5" s="757"/>
      <c r="AY5" s="757"/>
      <c r="AZ5" s="757"/>
      <c r="BA5" s="757"/>
      <c r="BB5" s="757"/>
      <c r="BC5" s="757"/>
      <c r="BD5" s="757"/>
      <c r="BE5" s="757"/>
      <c r="BF5" s="757"/>
      <c r="BG5" s="757"/>
      <c r="BH5" s="765"/>
    </row>
    <row r="6" ht="15.95" customHeight="1" spans="1:60">
      <c r="A6" s="643" t="s">
        <v>154</v>
      </c>
      <c r="B6" s="644"/>
      <c r="C6" s="644"/>
      <c r="D6" s="644"/>
      <c r="E6" s="644"/>
      <c r="F6" s="644"/>
      <c r="G6" s="644"/>
      <c r="H6" s="644"/>
      <c r="I6" s="644"/>
      <c r="J6" s="644"/>
      <c r="K6" s="644"/>
      <c r="L6" s="644"/>
      <c r="M6" s="644"/>
      <c r="N6" s="644"/>
      <c r="O6" s="644"/>
      <c r="P6" s="644"/>
      <c r="Q6" s="644"/>
      <c r="R6" s="644"/>
      <c r="S6" s="644"/>
      <c r="T6" s="644"/>
      <c r="U6" s="644"/>
      <c r="V6" s="644"/>
      <c r="W6" s="644"/>
      <c r="X6" s="644"/>
      <c r="Y6" s="644"/>
      <c r="Z6" s="644"/>
      <c r="AA6" s="644"/>
      <c r="AB6" s="644"/>
      <c r="AC6" s="644"/>
      <c r="AD6" s="644"/>
      <c r="AE6" s="644"/>
      <c r="AF6" s="644"/>
      <c r="AG6" s="644"/>
      <c r="AH6" s="644"/>
      <c r="AI6" s="644"/>
      <c r="AJ6" s="644"/>
      <c r="AK6" s="644"/>
      <c r="AL6" s="644"/>
      <c r="AM6" s="644"/>
      <c r="AN6" s="644"/>
      <c r="AO6" s="644"/>
      <c r="AP6" s="644"/>
      <c r="AQ6" s="644"/>
      <c r="AR6" s="644"/>
      <c r="AS6" s="644"/>
      <c r="AT6" s="644"/>
      <c r="AU6" s="644"/>
      <c r="AV6" s="644"/>
      <c r="AW6" s="644"/>
      <c r="AX6" s="644"/>
      <c r="AY6" s="644"/>
      <c r="AZ6" s="644"/>
      <c r="BA6" s="644"/>
      <c r="BB6" s="644"/>
      <c r="BC6" s="644"/>
      <c r="BD6" s="644"/>
      <c r="BE6" s="644"/>
      <c r="BF6" s="644"/>
      <c r="BG6" s="644"/>
      <c r="BH6" s="766"/>
    </row>
    <row r="7" ht="15.95" customHeight="1" spans="1:60">
      <c r="A7" s="645" t="s">
        <v>893</v>
      </c>
      <c r="B7" s="646"/>
      <c r="C7" s="646"/>
      <c r="D7" s="646"/>
      <c r="E7" s="646"/>
      <c r="F7" s="646"/>
      <c r="G7" s="646"/>
      <c r="H7" s="646"/>
      <c r="I7" s="705"/>
      <c r="J7" s="705"/>
      <c r="K7" s="705"/>
      <c r="L7" s="705"/>
      <c r="M7" s="705"/>
      <c r="N7" s="705"/>
      <c r="O7" s="705"/>
      <c r="P7" s="705"/>
      <c r="Q7" s="726" t="s">
        <v>894</v>
      </c>
      <c r="R7" s="726"/>
      <c r="S7" s="726"/>
      <c r="T7" s="726"/>
      <c r="U7" s="646" t="s">
        <v>370</v>
      </c>
      <c r="V7" s="646"/>
      <c r="W7" s="646"/>
      <c r="X7" s="646"/>
      <c r="Y7" s="646"/>
      <c r="Z7" s="646"/>
      <c r="AA7" s="646"/>
      <c r="AB7" s="646"/>
      <c r="AC7" s="743"/>
      <c r="AD7" s="744"/>
      <c r="AE7" s="744"/>
      <c r="AF7" s="744"/>
      <c r="AG7" s="744"/>
      <c r="AH7" s="744"/>
      <c r="AI7" s="744"/>
      <c r="AJ7" s="744"/>
      <c r="AK7" s="744"/>
      <c r="AL7" s="744"/>
      <c r="AM7" s="744"/>
      <c r="AN7" s="750"/>
      <c r="AO7" s="646" t="s">
        <v>242</v>
      </c>
      <c r="AP7" s="646"/>
      <c r="AQ7" s="646"/>
      <c r="AR7" s="646"/>
      <c r="AS7" s="646"/>
      <c r="AT7" s="646"/>
      <c r="AU7" s="646"/>
      <c r="AV7" s="646"/>
      <c r="AW7" s="743"/>
      <c r="AX7" s="744"/>
      <c r="AY7" s="744"/>
      <c r="AZ7" s="744"/>
      <c r="BA7" s="744"/>
      <c r="BB7" s="744"/>
      <c r="BC7" s="744"/>
      <c r="BD7" s="744"/>
      <c r="BE7" s="744"/>
      <c r="BF7" s="744"/>
      <c r="BG7" s="744"/>
      <c r="BH7" s="767"/>
    </row>
    <row r="8" ht="15.95" customHeight="1" spans="1:60">
      <c r="A8" s="647" t="s">
        <v>895</v>
      </c>
      <c r="B8" s="648"/>
      <c r="C8" s="648"/>
      <c r="D8" s="648"/>
      <c r="E8" s="648"/>
      <c r="F8" s="648"/>
      <c r="G8" s="648"/>
      <c r="H8" s="648"/>
      <c r="I8" s="662"/>
      <c r="J8" s="662"/>
      <c r="K8" s="662"/>
      <c r="L8" s="662"/>
      <c r="M8" s="662"/>
      <c r="N8" s="662"/>
      <c r="O8" s="662"/>
      <c r="P8" s="662"/>
      <c r="Q8" s="696" t="s">
        <v>896</v>
      </c>
      <c r="R8" s="696"/>
      <c r="S8" s="696"/>
      <c r="T8" s="696"/>
      <c r="U8" s="648" t="s">
        <v>897</v>
      </c>
      <c r="V8" s="648"/>
      <c r="W8" s="648"/>
      <c r="X8" s="648"/>
      <c r="Y8" s="648"/>
      <c r="Z8" s="648"/>
      <c r="AA8" s="648"/>
      <c r="AB8" s="648"/>
      <c r="AC8" s="662"/>
      <c r="AD8" s="662"/>
      <c r="AE8" s="662"/>
      <c r="AF8" s="662"/>
      <c r="AG8" s="662"/>
      <c r="AH8" s="662"/>
      <c r="AI8" s="662"/>
      <c r="AJ8" s="662"/>
      <c r="AK8" s="696" t="s">
        <v>898</v>
      </c>
      <c r="AL8" s="696"/>
      <c r="AM8" s="696"/>
      <c r="AN8" s="696"/>
      <c r="AO8" s="648"/>
      <c r="AP8" s="648"/>
      <c r="AQ8" s="648"/>
      <c r="AR8" s="648"/>
      <c r="AS8" s="648"/>
      <c r="AT8" s="648"/>
      <c r="AU8" s="648"/>
      <c r="AV8" s="648"/>
      <c r="AW8" s="648"/>
      <c r="AX8" s="648"/>
      <c r="AY8" s="648"/>
      <c r="AZ8" s="648"/>
      <c r="BA8" s="648"/>
      <c r="BB8" s="648"/>
      <c r="BC8" s="648"/>
      <c r="BD8" s="648"/>
      <c r="BE8" s="648"/>
      <c r="BF8" s="648"/>
      <c r="BG8" s="648"/>
      <c r="BH8" s="768"/>
    </row>
    <row r="9" ht="15.95" customHeight="1" spans="1:60">
      <c r="A9" s="647" t="s">
        <v>899</v>
      </c>
      <c r="B9" s="648"/>
      <c r="C9" s="648"/>
      <c r="D9" s="648"/>
      <c r="E9" s="648"/>
      <c r="F9" s="648"/>
      <c r="G9" s="648"/>
      <c r="H9" s="648"/>
      <c r="I9" s="662"/>
      <c r="J9" s="662"/>
      <c r="K9" s="662"/>
      <c r="L9" s="662"/>
      <c r="M9" s="662"/>
      <c r="N9" s="662"/>
      <c r="O9" s="662"/>
      <c r="P9" s="662"/>
      <c r="Q9" s="696" t="s">
        <v>900</v>
      </c>
      <c r="R9" s="696"/>
      <c r="S9" s="696"/>
      <c r="T9" s="696"/>
      <c r="U9" s="648" t="s">
        <v>443</v>
      </c>
      <c r="V9" s="648"/>
      <c r="W9" s="648"/>
      <c r="X9" s="648"/>
      <c r="Y9" s="648"/>
      <c r="Z9" s="648"/>
      <c r="AA9" s="648"/>
      <c r="AB9" s="648"/>
      <c r="AC9" s="662"/>
      <c r="AD9" s="662"/>
      <c r="AE9" s="662"/>
      <c r="AF9" s="662"/>
      <c r="AG9" s="662"/>
      <c r="AH9" s="662"/>
      <c r="AI9" s="662"/>
      <c r="AJ9" s="662"/>
      <c r="AK9" s="696" t="s">
        <v>900</v>
      </c>
      <c r="AL9" s="696"/>
      <c r="AM9" s="696"/>
      <c r="AN9" s="696"/>
      <c r="AO9" s="648" t="s">
        <v>901</v>
      </c>
      <c r="AP9" s="648"/>
      <c r="AQ9" s="648"/>
      <c r="AR9" s="648"/>
      <c r="AS9" s="648"/>
      <c r="AT9" s="648"/>
      <c r="AU9" s="648"/>
      <c r="AV9" s="648"/>
      <c r="AW9" s="760"/>
      <c r="AX9" s="760"/>
      <c r="AY9" s="760"/>
      <c r="AZ9" s="760"/>
      <c r="BA9" s="760"/>
      <c r="BB9" s="760"/>
      <c r="BC9" s="760"/>
      <c r="BD9" s="760"/>
      <c r="BE9" s="760"/>
      <c r="BF9" s="760"/>
      <c r="BG9" s="760"/>
      <c r="BH9" s="769"/>
    </row>
    <row r="10" ht="15.95" customHeight="1" spans="1:60">
      <c r="A10" s="647" t="s">
        <v>902</v>
      </c>
      <c r="B10" s="648"/>
      <c r="C10" s="648"/>
      <c r="D10" s="648"/>
      <c r="E10" s="648"/>
      <c r="F10" s="648"/>
      <c r="G10" s="648"/>
      <c r="H10" s="648"/>
      <c r="I10" s="648"/>
      <c r="J10" s="648"/>
      <c r="K10" s="648"/>
      <c r="L10" s="648"/>
      <c r="M10" s="648"/>
      <c r="N10" s="648"/>
      <c r="O10" s="648"/>
      <c r="P10" s="648"/>
      <c r="Q10" s="662"/>
      <c r="R10" s="662"/>
      <c r="S10" s="662"/>
      <c r="T10" s="662"/>
      <c r="U10" s="662"/>
      <c r="V10" s="662"/>
      <c r="W10" s="662"/>
      <c r="X10" s="662"/>
      <c r="Y10" s="696" t="s">
        <v>903</v>
      </c>
      <c r="Z10" s="696"/>
      <c r="AA10" s="696"/>
      <c r="AB10" s="696"/>
      <c r="AC10" s="696"/>
      <c r="AD10" s="696"/>
      <c r="AE10" s="648" t="s">
        <v>904</v>
      </c>
      <c r="AF10" s="648"/>
      <c r="AG10" s="648"/>
      <c r="AH10" s="648"/>
      <c r="AI10" s="648"/>
      <c r="AJ10" s="648"/>
      <c r="AK10" s="648"/>
      <c r="AL10" s="648"/>
      <c r="AM10" s="648"/>
      <c r="AN10" s="648"/>
      <c r="AO10" s="648"/>
      <c r="AP10" s="648"/>
      <c r="AQ10" s="648"/>
      <c r="AR10" s="648"/>
      <c r="AS10" s="648"/>
      <c r="AT10" s="648"/>
      <c r="AU10" s="662"/>
      <c r="AV10" s="662"/>
      <c r="AW10" s="662"/>
      <c r="AX10" s="662"/>
      <c r="AY10" s="662"/>
      <c r="AZ10" s="662"/>
      <c r="BA10" s="662"/>
      <c r="BB10" s="662"/>
      <c r="BC10" s="696" t="s">
        <v>905</v>
      </c>
      <c r="BD10" s="696"/>
      <c r="BE10" s="696"/>
      <c r="BF10" s="696"/>
      <c r="BG10" s="696"/>
      <c r="BH10" s="770"/>
    </row>
    <row r="11" ht="15.95" customHeight="1" spans="1:60">
      <c r="A11" s="649" t="s">
        <v>525</v>
      </c>
      <c r="B11" s="650"/>
      <c r="C11" s="650"/>
      <c r="D11" s="650"/>
      <c r="E11" s="650"/>
      <c r="F11" s="650"/>
      <c r="G11" s="650"/>
      <c r="H11" s="650"/>
      <c r="I11" s="706"/>
      <c r="J11" s="706"/>
      <c r="K11" s="706"/>
      <c r="L11" s="706"/>
      <c r="M11" s="706"/>
      <c r="N11" s="706"/>
      <c r="O11" s="706"/>
      <c r="P11" s="706"/>
      <c r="Q11" s="727" t="s">
        <v>906</v>
      </c>
      <c r="R11" s="728"/>
      <c r="S11" s="728"/>
      <c r="T11" s="729"/>
      <c r="U11" s="650" t="s">
        <v>907</v>
      </c>
      <c r="V11" s="650"/>
      <c r="W11" s="650"/>
      <c r="X11" s="650"/>
      <c r="Y11" s="650"/>
      <c r="Z11" s="650"/>
      <c r="AA11" s="650"/>
      <c r="AB11" s="650"/>
      <c r="AC11" s="706"/>
      <c r="AD11" s="706"/>
      <c r="AE11" s="706"/>
      <c r="AF11" s="706"/>
      <c r="AG11" s="706"/>
      <c r="AH11" s="706"/>
      <c r="AI11" s="706"/>
      <c r="AJ11" s="706"/>
      <c r="AK11" s="727" t="s">
        <v>906</v>
      </c>
      <c r="AL11" s="728"/>
      <c r="AM11" s="728"/>
      <c r="AN11" s="729"/>
      <c r="AO11" s="650" t="s">
        <v>908</v>
      </c>
      <c r="AP11" s="650"/>
      <c r="AQ11" s="650"/>
      <c r="AR11" s="650"/>
      <c r="AS11" s="650"/>
      <c r="AT11" s="650"/>
      <c r="AU11" s="650"/>
      <c r="AV11" s="650"/>
      <c r="AW11" s="706"/>
      <c r="AX11" s="706"/>
      <c r="AY11" s="706"/>
      <c r="AZ11" s="706"/>
      <c r="BA11" s="706"/>
      <c r="BB11" s="706"/>
      <c r="BC11" s="706"/>
      <c r="BD11" s="706"/>
      <c r="BE11" s="727" t="s">
        <v>906</v>
      </c>
      <c r="BF11" s="728"/>
      <c r="BG11" s="728"/>
      <c r="BH11" s="771"/>
    </row>
    <row r="12" ht="18" spans="1:60">
      <c r="A12" s="651" t="str">
        <f>IF(目录!G2="中文",对照!Z22,IF(目录!G2="English",对照!AA22,对照!Z22))</f>
        <v>试模类型</v>
      </c>
      <c r="B12" s="652"/>
      <c r="C12" s="652"/>
      <c r="D12" s="652"/>
      <c r="E12" s="652"/>
      <c r="F12" s="652"/>
      <c r="G12" s="652"/>
      <c r="H12" s="652"/>
      <c r="I12" s="652" t="s">
        <v>541</v>
      </c>
      <c r="J12" s="652"/>
      <c r="K12" s="652"/>
      <c r="L12" s="652"/>
      <c r="M12" s="652"/>
      <c r="N12" s="652"/>
      <c r="O12" s="652"/>
      <c r="P12" s="652"/>
      <c r="Q12" s="730"/>
      <c r="R12" s="730"/>
      <c r="S12" s="730"/>
      <c r="T12" s="730"/>
      <c r="U12" s="730"/>
      <c r="V12" s="730"/>
      <c r="W12" s="731" t="s">
        <v>548</v>
      </c>
      <c r="X12" s="731"/>
      <c r="Y12" s="731"/>
      <c r="Z12" s="731"/>
      <c r="AA12" s="731"/>
      <c r="AB12" s="731"/>
      <c r="AC12" s="731"/>
      <c r="AD12" s="731"/>
      <c r="AE12" s="731"/>
      <c r="AF12" s="731"/>
      <c r="AG12" s="731"/>
      <c r="AH12" s="731"/>
      <c r="AI12" s="751"/>
      <c r="AJ12" s="751"/>
      <c r="AK12" s="751"/>
      <c r="AL12" s="751"/>
      <c r="AM12" s="751"/>
      <c r="AN12" s="751"/>
      <c r="AO12" s="652" t="s">
        <v>552</v>
      </c>
      <c r="AP12" s="652"/>
      <c r="AQ12" s="652"/>
      <c r="AR12" s="652"/>
      <c r="AS12" s="652"/>
      <c r="AT12" s="652"/>
      <c r="AU12" s="652"/>
      <c r="AV12" s="652"/>
      <c r="AW12" s="652"/>
      <c r="AX12" s="652"/>
      <c r="AY12" s="652"/>
      <c r="AZ12" s="652"/>
      <c r="BA12" s="652"/>
      <c r="BB12" s="652"/>
      <c r="BC12" s="761"/>
      <c r="BD12" s="761"/>
      <c r="BE12" s="761"/>
      <c r="BF12" s="761"/>
      <c r="BG12" s="761"/>
      <c r="BH12" s="772"/>
    </row>
    <row r="13" ht="24" customHeight="1" spans="1:60">
      <c r="A13" s="653" t="str">
        <f>IF(目录!G2="中文",对照!Z26,IF(目录!G2="English",对照!AA26,对照!Z26))</f>
        <v>温度控制</v>
      </c>
      <c r="B13" s="654"/>
      <c r="C13" s="654"/>
      <c r="D13" s="654"/>
      <c r="E13" s="654"/>
      <c r="F13" s="654"/>
      <c r="G13" s="654"/>
      <c r="H13" s="654"/>
      <c r="I13" s="654"/>
      <c r="J13" s="654"/>
      <c r="K13" s="654"/>
      <c r="L13" s="654"/>
      <c r="M13" s="654"/>
      <c r="N13" s="654"/>
      <c r="O13" s="654"/>
      <c r="P13" s="654"/>
      <c r="Q13" s="654"/>
      <c r="R13" s="654"/>
      <c r="S13" s="654"/>
      <c r="T13" s="654"/>
      <c r="U13" s="654"/>
      <c r="V13" s="654"/>
      <c r="W13" s="654"/>
      <c r="X13" s="654"/>
      <c r="Y13" s="654"/>
      <c r="Z13" s="654"/>
      <c r="AA13" s="654"/>
      <c r="AB13" s="654"/>
      <c r="AC13" s="654"/>
      <c r="AD13" s="654"/>
      <c r="AE13" s="654"/>
      <c r="AF13" s="654"/>
      <c r="AG13" s="654"/>
      <c r="AH13" s="654"/>
      <c r="AI13" s="654"/>
      <c r="AJ13" s="654"/>
      <c r="AK13" s="654"/>
      <c r="AL13" s="654"/>
      <c r="AM13" s="654"/>
      <c r="AN13" s="654"/>
      <c r="AO13" s="654"/>
      <c r="AP13" s="654"/>
      <c r="AQ13" s="654"/>
      <c r="AR13" s="654"/>
      <c r="AS13" s="654"/>
      <c r="AT13" s="654"/>
      <c r="AU13" s="654"/>
      <c r="AV13" s="654"/>
      <c r="AW13" s="654"/>
      <c r="AX13" s="654"/>
      <c r="AY13" s="654"/>
      <c r="AZ13" s="654"/>
      <c r="BA13" s="654"/>
      <c r="BB13" s="654"/>
      <c r="BC13" s="654"/>
      <c r="BD13" s="654"/>
      <c r="BE13" s="654"/>
      <c r="BF13" s="654"/>
      <c r="BG13" s="654"/>
      <c r="BH13" s="773"/>
    </row>
    <row r="14" ht="15.95" customHeight="1" spans="1:60">
      <c r="A14" s="655" t="str">
        <f>IF(目录!G2="中文",对照!Z32,IF(目录!G2="English",对照!AA32,对照!Z32))</f>
        <v>热流道温度控制</v>
      </c>
      <c r="B14" s="656"/>
      <c r="C14" s="656"/>
      <c r="D14" s="656"/>
      <c r="E14" s="656"/>
      <c r="F14" s="656"/>
      <c r="G14" s="656"/>
      <c r="H14" s="656"/>
      <c r="I14" s="656"/>
      <c r="J14" s="656"/>
      <c r="K14" s="656"/>
      <c r="L14" s="656"/>
      <c r="M14" s="656"/>
      <c r="N14" s="656"/>
      <c r="O14" s="707"/>
      <c r="P14" s="658" t="str">
        <f>IF(目录!G2="中文",对照!Z28,IF(目录!G2="English",对照!AA28,对照!Z28))</f>
        <v>单位</v>
      </c>
      <c r="Q14" s="658"/>
      <c r="R14" s="658"/>
      <c r="S14" s="658"/>
      <c r="T14" s="658"/>
      <c r="U14" s="732" t="s">
        <v>896</v>
      </c>
      <c r="V14" s="732"/>
      <c r="W14" s="732"/>
      <c r="X14" s="732"/>
      <c r="Y14" s="732"/>
      <c r="Z14" s="658" t="str">
        <f>IF(目录!G2="中文",对照!Z33,IF(目录!G2="English",对照!AA33,对照!Z33))</f>
        <v>热流道数量</v>
      </c>
      <c r="AA14" s="658"/>
      <c r="AB14" s="658"/>
      <c r="AC14" s="658"/>
      <c r="AD14" s="658"/>
      <c r="AE14" s="658"/>
      <c r="AF14" s="658"/>
      <c r="AG14" s="658"/>
      <c r="AH14" s="658"/>
      <c r="AI14" s="658"/>
      <c r="AJ14" s="742"/>
      <c r="AK14" s="742"/>
      <c r="AL14" s="742"/>
      <c r="AM14" s="742"/>
      <c r="AN14" s="748"/>
      <c r="AO14" s="758"/>
      <c r="AP14" s="759"/>
      <c r="AQ14" s="759"/>
      <c r="AR14" s="759"/>
      <c r="AS14" s="759"/>
      <c r="AT14" s="759"/>
      <c r="AU14" s="759"/>
      <c r="AV14" s="759"/>
      <c r="AW14" s="759"/>
      <c r="AX14" s="759"/>
      <c r="AY14" s="759"/>
      <c r="AZ14" s="759"/>
      <c r="BA14" s="759"/>
      <c r="BB14" s="759"/>
      <c r="BC14" s="759"/>
      <c r="BD14" s="759"/>
      <c r="BE14" s="759"/>
      <c r="BF14" s="759"/>
      <c r="BG14" s="759"/>
      <c r="BH14" s="774"/>
    </row>
    <row r="15" ht="15.95" customHeight="1" spans="1:60">
      <c r="A15" s="657" t="s">
        <v>589</v>
      </c>
      <c r="B15" s="658"/>
      <c r="C15" s="658"/>
      <c r="D15" s="658"/>
      <c r="E15" s="658"/>
      <c r="F15" s="658"/>
      <c r="G15" s="658"/>
      <c r="H15" s="658"/>
      <c r="I15" s="658"/>
      <c r="J15" s="658"/>
      <c r="K15" s="662">
        <v>1</v>
      </c>
      <c r="L15" s="662"/>
      <c r="M15" s="662"/>
      <c r="N15" s="662"/>
      <c r="O15" s="662"/>
      <c r="P15" s="662">
        <v>2</v>
      </c>
      <c r="Q15" s="662"/>
      <c r="R15" s="662"/>
      <c r="S15" s="662"/>
      <c r="T15" s="662"/>
      <c r="U15" s="662">
        <v>3</v>
      </c>
      <c r="V15" s="662"/>
      <c r="W15" s="662"/>
      <c r="X15" s="662"/>
      <c r="Y15" s="662"/>
      <c r="Z15" s="662">
        <v>4</v>
      </c>
      <c r="AA15" s="662"/>
      <c r="AB15" s="662"/>
      <c r="AC15" s="662"/>
      <c r="AD15" s="662"/>
      <c r="AE15" s="662">
        <v>5</v>
      </c>
      <c r="AF15" s="662"/>
      <c r="AG15" s="662"/>
      <c r="AH15" s="662"/>
      <c r="AI15" s="662"/>
      <c r="AJ15" s="662">
        <v>6</v>
      </c>
      <c r="AK15" s="662"/>
      <c r="AL15" s="662"/>
      <c r="AM15" s="662"/>
      <c r="AN15" s="662"/>
      <c r="AO15" s="662">
        <v>7</v>
      </c>
      <c r="AP15" s="662"/>
      <c r="AQ15" s="662"/>
      <c r="AR15" s="662"/>
      <c r="AS15" s="662"/>
      <c r="AT15" s="662">
        <v>8</v>
      </c>
      <c r="AU15" s="662"/>
      <c r="AV15" s="662"/>
      <c r="AW15" s="662"/>
      <c r="AX15" s="662"/>
      <c r="AY15" s="662">
        <v>9</v>
      </c>
      <c r="AZ15" s="662"/>
      <c r="BA15" s="662"/>
      <c r="BB15" s="662"/>
      <c r="BC15" s="662"/>
      <c r="BD15" s="662">
        <v>10</v>
      </c>
      <c r="BE15" s="662"/>
      <c r="BF15" s="662"/>
      <c r="BG15" s="662"/>
      <c r="BH15" s="775"/>
    </row>
    <row r="16" ht="15.95" customHeight="1" spans="1:60">
      <c r="A16" s="657" t="s">
        <v>576</v>
      </c>
      <c r="B16" s="658"/>
      <c r="C16" s="658"/>
      <c r="D16" s="658"/>
      <c r="E16" s="658"/>
      <c r="F16" s="658"/>
      <c r="G16" s="658"/>
      <c r="H16" s="658"/>
      <c r="I16" s="658"/>
      <c r="J16" s="658"/>
      <c r="K16" s="662" t="s">
        <v>909</v>
      </c>
      <c r="L16" s="662"/>
      <c r="M16" s="662"/>
      <c r="N16" s="662"/>
      <c r="O16" s="662"/>
      <c r="P16" s="662" t="s">
        <v>910</v>
      </c>
      <c r="Q16" s="662"/>
      <c r="R16" s="662"/>
      <c r="S16" s="662"/>
      <c r="T16" s="662"/>
      <c r="U16" s="662" t="s">
        <v>911</v>
      </c>
      <c r="V16" s="662"/>
      <c r="W16" s="662"/>
      <c r="X16" s="662"/>
      <c r="Y16" s="662"/>
      <c r="Z16" s="662" t="s">
        <v>912</v>
      </c>
      <c r="AA16" s="662"/>
      <c r="AB16" s="662"/>
      <c r="AC16" s="662"/>
      <c r="AD16" s="662"/>
      <c r="AE16" s="662" t="s">
        <v>913</v>
      </c>
      <c r="AF16" s="662"/>
      <c r="AG16" s="662"/>
      <c r="AH16" s="662"/>
      <c r="AI16" s="662"/>
      <c r="AJ16" s="662" t="s">
        <v>914</v>
      </c>
      <c r="AK16" s="662"/>
      <c r="AL16" s="662"/>
      <c r="AM16" s="662"/>
      <c r="AN16" s="662"/>
      <c r="AO16" s="662" t="s">
        <v>915</v>
      </c>
      <c r="AP16" s="662"/>
      <c r="AQ16" s="662"/>
      <c r="AR16" s="662"/>
      <c r="AS16" s="662"/>
      <c r="AT16" s="662" t="s">
        <v>916</v>
      </c>
      <c r="AU16" s="662"/>
      <c r="AV16" s="662"/>
      <c r="AW16" s="662"/>
      <c r="AX16" s="662"/>
      <c r="AY16" s="662" t="s">
        <v>917</v>
      </c>
      <c r="AZ16" s="662"/>
      <c r="BA16" s="662"/>
      <c r="BB16" s="662"/>
      <c r="BC16" s="662"/>
      <c r="BD16" s="662" t="s">
        <v>918</v>
      </c>
      <c r="BE16" s="662"/>
      <c r="BF16" s="662"/>
      <c r="BG16" s="662"/>
      <c r="BH16" s="775"/>
    </row>
    <row r="17" ht="15.95" customHeight="1" spans="1:60">
      <c r="A17" s="659">
        <v>11</v>
      </c>
      <c r="B17" s="660"/>
      <c r="C17" s="660"/>
      <c r="D17" s="660"/>
      <c r="E17" s="660"/>
      <c r="F17" s="660">
        <v>12</v>
      </c>
      <c r="G17" s="660"/>
      <c r="H17" s="660"/>
      <c r="I17" s="660"/>
      <c r="J17" s="660"/>
      <c r="K17" s="660">
        <v>13</v>
      </c>
      <c r="L17" s="660"/>
      <c r="M17" s="660"/>
      <c r="N17" s="660"/>
      <c r="O17" s="660"/>
      <c r="P17" s="660">
        <v>14</v>
      </c>
      <c r="Q17" s="660"/>
      <c r="R17" s="660"/>
      <c r="S17" s="660"/>
      <c r="T17" s="660"/>
      <c r="U17" s="660">
        <v>15</v>
      </c>
      <c r="V17" s="660"/>
      <c r="W17" s="660"/>
      <c r="X17" s="660"/>
      <c r="Y17" s="660"/>
      <c r="Z17" s="660">
        <v>16</v>
      </c>
      <c r="AA17" s="660"/>
      <c r="AB17" s="660"/>
      <c r="AC17" s="660"/>
      <c r="AD17" s="660"/>
      <c r="AE17" s="660">
        <v>17</v>
      </c>
      <c r="AF17" s="660"/>
      <c r="AG17" s="660"/>
      <c r="AH17" s="660"/>
      <c r="AI17" s="660"/>
      <c r="AJ17" s="660">
        <v>18</v>
      </c>
      <c r="AK17" s="660"/>
      <c r="AL17" s="660"/>
      <c r="AM17" s="660"/>
      <c r="AN17" s="660"/>
      <c r="AO17" s="660">
        <v>19</v>
      </c>
      <c r="AP17" s="660"/>
      <c r="AQ17" s="660"/>
      <c r="AR17" s="660"/>
      <c r="AS17" s="660"/>
      <c r="AT17" s="660">
        <v>20</v>
      </c>
      <c r="AU17" s="660"/>
      <c r="AV17" s="660"/>
      <c r="AW17" s="660"/>
      <c r="AX17" s="660"/>
      <c r="AY17" s="660">
        <v>21</v>
      </c>
      <c r="AZ17" s="660"/>
      <c r="BA17" s="660"/>
      <c r="BB17" s="660"/>
      <c r="BC17" s="660"/>
      <c r="BD17" s="660">
        <v>22</v>
      </c>
      <c r="BE17" s="660"/>
      <c r="BF17" s="660"/>
      <c r="BG17" s="660"/>
      <c r="BH17" s="776"/>
    </row>
    <row r="18" ht="15.95" customHeight="1" spans="1:60">
      <c r="A18" s="661" t="s">
        <v>919</v>
      </c>
      <c r="B18" s="662"/>
      <c r="C18" s="662"/>
      <c r="D18" s="662"/>
      <c r="E18" s="662"/>
      <c r="F18" s="662" t="s">
        <v>920</v>
      </c>
      <c r="G18" s="662"/>
      <c r="H18" s="662"/>
      <c r="I18" s="662"/>
      <c r="J18" s="662"/>
      <c r="K18" s="662" t="s">
        <v>921</v>
      </c>
      <c r="L18" s="662"/>
      <c r="M18" s="662"/>
      <c r="N18" s="662"/>
      <c r="O18" s="662"/>
      <c r="P18" s="662" t="s">
        <v>922</v>
      </c>
      <c r="Q18" s="662"/>
      <c r="R18" s="662"/>
      <c r="S18" s="662"/>
      <c r="T18" s="662"/>
      <c r="U18" s="662" t="s">
        <v>923</v>
      </c>
      <c r="V18" s="662"/>
      <c r="W18" s="662"/>
      <c r="X18" s="662"/>
      <c r="Y18" s="662"/>
      <c r="Z18" s="662" t="s">
        <v>924</v>
      </c>
      <c r="AA18" s="662"/>
      <c r="AB18" s="662"/>
      <c r="AC18" s="662"/>
      <c r="AD18" s="662"/>
      <c r="AE18" s="662" t="s">
        <v>925</v>
      </c>
      <c r="AF18" s="662"/>
      <c r="AG18" s="662"/>
      <c r="AH18" s="662"/>
      <c r="AI18" s="662"/>
      <c r="AJ18" s="662" t="s">
        <v>926</v>
      </c>
      <c r="AK18" s="662"/>
      <c r="AL18" s="662"/>
      <c r="AM18" s="662"/>
      <c r="AN18" s="662"/>
      <c r="AO18" s="662" t="s">
        <v>927</v>
      </c>
      <c r="AP18" s="662"/>
      <c r="AQ18" s="662"/>
      <c r="AR18" s="662"/>
      <c r="AS18" s="662"/>
      <c r="AT18" s="662" t="s">
        <v>928</v>
      </c>
      <c r="AU18" s="662"/>
      <c r="AV18" s="662"/>
      <c r="AW18" s="662"/>
      <c r="AX18" s="662"/>
      <c r="AY18" s="662" t="s">
        <v>929</v>
      </c>
      <c r="AZ18" s="662"/>
      <c r="BA18" s="662"/>
      <c r="BB18" s="662"/>
      <c r="BC18" s="662"/>
      <c r="BD18" s="662" t="s">
        <v>930</v>
      </c>
      <c r="BE18" s="662"/>
      <c r="BF18" s="662"/>
      <c r="BG18" s="662"/>
      <c r="BH18" s="775"/>
    </row>
    <row r="19" ht="15.95" customHeight="1" spans="1:60">
      <c r="A19" s="661">
        <v>23</v>
      </c>
      <c r="B19" s="662"/>
      <c r="C19" s="662"/>
      <c r="D19" s="662"/>
      <c r="E19" s="662"/>
      <c r="F19" s="662">
        <v>24</v>
      </c>
      <c r="G19" s="662"/>
      <c r="H19" s="662"/>
      <c r="I19" s="662"/>
      <c r="J19" s="662"/>
      <c r="K19" s="662">
        <v>25</v>
      </c>
      <c r="L19" s="662"/>
      <c r="M19" s="662"/>
      <c r="N19" s="662"/>
      <c r="O19" s="662"/>
      <c r="P19" s="662">
        <v>26</v>
      </c>
      <c r="Q19" s="662"/>
      <c r="R19" s="662"/>
      <c r="S19" s="662"/>
      <c r="T19" s="662"/>
      <c r="U19" s="662">
        <v>27</v>
      </c>
      <c r="V19" s="662"/>
      <c r="W19" s="662"/>
      <c r="X19" s="662"/>
      <c r="Y19" s="662"/>
      <c r="Z19" s="662">
        <v>28</v>
      </c>
      <c r="AA19" s="662"/>
      <c r="AB19" s="662"/>
      <c r="AC19" s="662"/>
      <c r="AD19" s="662"/>
      <c r="AE19" s="662">
        <v>29</v>
      </c>
      <c r="AF19" s="662"/>
      <c r="AG19" s="662"/>
      <c r="AH19" s="662"/>
      <c r="AI19" s="662"/>
      <c r="AJ19" s="662">
        <v>30</v>
      </c>
      <c r="AK19" s="662"/>
      <c r="AL19" s="662"/>
      <c r="AM19" s="662"/>
      <c r="AN19" s="662"/>
      <c r="AO19" s="662">
        <v>31</v>
      </c>
      <c r="AP19" s="662"/>
      <c r="AQ19" s="662"/>
      <c r="AR19" s="662"/>
      <c r="AS19" s="662"/>
      <c r="AT19" s="662">
        <v>32</v>
      </c>
      <c r="AU19" s="662"/>
      <c r="AV19" s="662"/>
      <c r="AW19" s="662"/>
      <c r="AX19" s="662"/>
      <c r="AY19" s="662">
        <v>33</v>
      </c>
      <c r="AZ19" s="662"/>
      <c r="BA19" s="662"/>
      <c r="BB19" s="662"/>
      <c r="BC19" s="662"/>
      <c r="BD19" s="662">
        <v>34</v>
      </c>
      <c r="BE19" s="662"/>
      <c r="BF19" s="662"/>
      <c r="BG19" s="662"/>
      <c r="BH19" s="775"/>
    </row>
    <row r="20" ht="15.95" customHeight="1" spans="1:60">
      <c r="A20" s="661" t="s">
        <v>931</v>
      </c>
      <c r="B20" s="662"/>
      <c r="C20" s="662"/>
      <c r="D20" s="662"/>
      <c r="E20" s="662"/>
      <c r="F20" s="662" t="s">
        <v>932</v>
      </c>
      <c r="G20" s="662"/>
      <c r="H20" s="662"/>
      <c r="I20" s="662"/>
      <c r="J20" s="662"/>
      <c r="K20" s="662" t="s">
        <v>933</v>
      </c>
      <c r="L20" s="662"/>
      <c r="M20" s="662"/>
      <c r="N20" s="662"/>
      <c r="O20" s="662"/>
      <c r="P20" s="662" t="s">
        <v>934</v>
      </c>
      <c r="Q20" s="662"/>
      <c r="R20" s="662"/>
      <c r="S20" s="662"/>
      <c r="T20" s="662"/>
      <c r="U20" s="662" t="s">
        <v>935</v>
      </c>
      <c r="V20" s="662"/>
      <c r="W20" s="662"/>
      <c r="X20" s="662"/>
      <c r="Y20" s="662"/>
      <c r="Z20" s="662" t="s">
        <v>936</v>
      </c>
      <c r="AA20" s="662"/>
      <c r="AB20" s="662"/>
      <c r="AC20" s="662"/>
      <c r="AD20" s="662"/>
      <c r="AE20" s="662" t="s">
        <v>937</v>
      </c>
      <c r="AF20" s="662"/>
      <c r="AG20" s="662"/>
      <c r="AH20" s="662"/>
      <c r="AI20" s="662"/>
      <c r="AJ20" s="662" t="s">
        <v>938</v>
      </c>
      <c r="AK20" s="662"/>
      <c r="AL20" s="662"/>
      <c r="AM20" s="662"/>
      <c r="AN20" s="662"/>
      <c r="AO20" s="662" t="s">
        <v>939</v>
      </c>
      <c r="AP20" s="662"/>
      <c r="AQ20" s="662"/>
      <c r="AR20" s="662"/>
      <c r="AS20" s="662"/>
      <c r="AT20" s="662" t="s">
        <v>940</v>
      </c>
      <c r="AU20" s="662"/>
      <c r="AV20" s="662"/>
      <c r="AW20" s="662"/>
      <c r="AX20" s="662"/>
      <c r="AY20" s="662" t="s">
        <v>941</v>
      </c>
      <c r="AZ20" s="662"/>
      <c r="BA20" s="662"/>
      <c r="BB20" s="662"/>
      <c r="BC20" s="662"/>
      <c r="BD20" s="662" t="s">
        <v>942</v>
      </c>
      <c r="BE20" s="662"/>
      <c r="BF20" s="662"/>
      <c r="BG20" s="662"/>
      <c r="BH20" s="775"/>
    </row>
    <row r="21" ht="15.95" customHeight="1" spans="1:60">
      <c r="A21" s="661">
        <v>35</v>
      </c>
      <c r="B21" s="662"/>
      <c r="C21" s="662"/>
      <c r="D21" s="662"/>
      <c r="E21" s="662"/>
      <c r="F21" s="662">
        <v>36</v>
      </c>
      <c r="G21" s="662"/>
      <c r="H21" s="662"/>
      <c r="I21" s="662"/>
      <c r="J21" s="662"/>
      <c r="K21" s="662">
        <v>37</v>
      </c>
      <c r="L21" s="662"/>
      <c r="M21" s="662"/>
      <c r="N21" s="662"/>
      <c r="O21" s="662"/>
      <c r="P21" s="662">
        <v>38</v>
      </c>
      <c r="Q21" s="662"/>
      <c r="R21" s="662"/>
      <c r="S21" s="662"/>
      <c r="T21" s="662"/>
      <c r="U21" s="662">
        <v>39</v>
      </c>
      <c r="V21" s="662"/>
      <c r="W21" s="662"/>
      <c r="X21" s="662"/>
      <c r="Y21" s="662"/>
      <c r="Z21" s="662">
        <v>40</v>
      </c>
      <c r="AA21" s="662"/>
      <c r="AB21" s="662"/>
      <c r="AC21" s="662"/>
      <c r="AD21" s="662"/>
      <c r="AE21" s="662">
        <v>41</v>
      </c>
      <c r="AF21" s="662"/>
      <c r="AG21" s="662"/>
      <c r="AH21" s="662"/>
      <c r="AI21" s="662"/>
      <c r="AJ21" s="662">
        <v>42</v>
      </c>
      <c r="AK21" s="662"/>
      <c r="AL21" s="662"/>
      <c r="AM21" s="662"/>
      <c r="AN21" s="662"/>
      <c r="AO21" s="662">
        <v>43</v>
      </c>
      <c r="AP21" s="662"/>
      <c r="AQ21" s="662"/>
      <c r="AR21" s="662"/>
      <c r="AS21" s="662"/>
      <c r="AT21" s="662">
        <v>44</v>
      </c>
      <c r="AU21" s="662"/>
      <c r="AV21" s="662"/>
      <c r="AW21" s="662"/>
      <c r="AX21" s="662"/>
      <c r="AY21" s="662">
        <v>45</v>
      </c>
      <c r="AZ21" s="662"/>
      <c r="BA21" s="662"/>
      <c r="BB21" s="662"/>
      <c r="BC21" s="662"/>
      <c r="BD21" s="662">
        <v>46</v>
      </c>
      <c r="BE21" s="662"/>
      <c r="BF21" s="662"/>
      <c r="BG21" s="662"/>
      <c r="BH21" s="775"/>
    </row>
    <row r="22" ht="15.95" customHeight="1" spans="1:60">
      <c r="A22" s="661" t="s">
        <v>943</v>
      </c>
      <c r="B22" s="662"/>
      <c r="C22" s="662"/>
      <c r="D22" s="662"/>
      <c r="E22" s="662"/>
      <c r="F22" s="662" t="s">
        <v>944</v>
      </c>
      <c r="G22" s="662"/>
      <c r="H22" s="662"/>
      <c r="I22" s="662"/>
      <c r="J22" s="662"/>
      <c r="K22" s="662" t="s">
        <v>945</v>
      </c>
      <c r="L22" s="662"/>
      <c r="M22" s="662"/>
      <c r="N22" s="662"/>
      <c r="O22" s="662"/>
      <c r="P22" s="662" t="s">
        <v>946</v>
      </c>
      <c r="Q22" s="662"/>
      <c r="R22" s="662"/>
      <c r="S22" s="662"/>
      <c r="T22" s="662"/>
      <c r="U22" s="662" t="s">
        <v>947</v>
      </c>
      <c r="V22" s="662"/>
      <c r="W22" s="662"/>
      <c r="X22" s="662"/>
      <c r="Y22" s="662"/>
      <c r="Z22" s="662" t="s">
        <v>948</v>
      </c>
      <c r="AA22" s="662"/>
      <c r="AB22" s="662"/>
      <c r="AC22" s="662"/>
      <c r="AD22" s="662"/>
      <c r="AE22" s="662" t="s">
        <v>949</v>
      </c>
      <c r="AF22" s="662"/>
      <c r="AG22" s="662"/>
      <c r="AH22" s="662"/>
      <c r="AI22" s="662"/>
      <c r="AJ22" s="662" t="s">
        <v>950</v>
      </c>
      <c r="AK22" s="662"/>
      <c r="AL22" s="662"/>
      <c r="AM22" s="662"/>
      <c r="AN22" s="662"/>
      <c r="AO22" s="662" t="s">
        <v>951</v>
      </c>
      <c r="AP22" s="662"/>
      <c r="AQ22" s="662"/>
      <c r="AR22" s="662"/>
      <c r="AS22" s="662"/>
      <c r="AT22" s="662" t="s">
        <v>952</v>
      </c>
      <c r="AU22" s="662"/>
      <c r="AV22" s="662"/>
      <c r="AW22" s="662"/>
      <c r="AX22" s="662"/>
      <c r="AY22" s="662" t="s">
        <v>953</v>
      </c>
      <c r="AZ22" s="662"/>
      <c r="BA22" s="662"/>
      <c r="BB22" s="662"/>
      <c r="BC22" s="662"/>
      <c r="BD22" s="662" t="s">
        <v>954</v>
      </c>
      <c r="BE22" s="662"/>
      <c r="BF22" s="662"/>
      <c r="BG22" s="662"/>
      <c r="BH22" s="775"/>
    </row>
    <row r="23" ht="15.95" customHeight="1" spans="1:60">
      <c r="A23" s="661">
        <v>47</v>
      </c>
      <c r="B23" s="662"/>
      <c r="C23" s="662"/>
      <c r="D23" s="662"/>
      <c r="E23" s="662"/>
      <c r="F23" s="662">
        <v>48</v>
      </c>
      <c r="G23" s="662"/>
      <c r="H23" s="662"/>
      <c r="I23" s="662"/>
      <c r="J23" s="662"/>
      <c r="K23" s="662">
        <v>49</v>
      </c>
      <c r="L23" s="662"/>
      <c r="M23" s="662"/>
      <c r="N23" s="662"/>
      <c r="O23" s="662"/>
      <c r="P23" s="662">
        <v>50</v>
      </c>
      <c r="Q23" s="662"/>
      <c r="R23" s="662"/>
      <c r="S23" s="662"/>
      <c r="T23" s="662"/>
      <c r="U23" s="662">
        <v>51</v>
      </c>
      <c r="V23" s="662"/>
      <c r="W23" s="662"/>
      <c r="X23" s="662"/>
      <c r="Y23" s="662"/>
      <c r="Z23" s="662">
        <v>52</v>
      </c>
      <c r="AA23" s="662"/>
      <c r="AB23" s="662"/>
      <c r="AC23" s="662"/>
      <c r="AD23" s="662"/>
      <c r="AE23" s="662">
        <v>53</v>
      </c>
      <c r="AF23" s="662"/>
      <c r="AG23" s="662"/>
      <c r="AH23" s="662"/>
      <c r="AI23" s="662"/>
      <c r="AJ23" s="662">
        <v>54</v>
      </c>
      <c r="AK23" s="662"/>
      <c r="AL23" s="662"/>
      <c r="AM23" s="662"/>
      <c r="AN23" s="662"/>
      <c r="AO23" s="662">
        <v>55</v>
      </c>
      <c r="AP23" s="662"/>
      <c r="AQ23" s="662"/>
      <c r="AR23" s="662"/>
      <c r="AS23" s="662"/>
      <c r="AT23" s="662">
        <v>56</v>
      </c>
      <c r="AU23" s="662"/>
      <c r="AV23" s="662"/>
      <c r="AW23" s="662"/>
      <c r="AX23" s="662"/>
      <c r="AY23" s="662">
        <v>57</v>
      </c>
      <c r="AZ23" s="662"/>
      <c r="BA23" s="662"/>
      <c r="BB23" s="662"/>
      <c r="BC23" s="662"/>
      <c r="BD23" s="662">
        <v>58</v>
      </c>
      <c r="BE23" s="662"/>
      <c r="BF23" s="662"/>
      <c r="BG23" s="662"/>
      <c r="BH23" s="775"/>
    </row>
    <row r="24" ht="15.95" customHeight="1" spans="1:60">
      <c r="A24" s="661" t="s">
        <v>955</v>
      </c>
      <c r="B24" s="662"/>
      <c r="C24" s="662"/>
      <c r="D24" s="662"/>
      <c r="E24" s="662"/>
      <c r="F24" s="662" t="s">
        <v>956</v>
      </c>
      <c r="G24" s="662"/>
      <c r="H24" s="662"/>
      <c r="I24" s="662"/>
      <c r="J24" s="662"/>
      <c r="K24" s="662" t="s">
        <v>957</v>
      </c>
      <c r="L24" s="662"/>
      <c r="M24" s="662"/>
      <c r="N24" s="662"/>
      <c r="O24" s="662"/>
      <c r="P24" s="662" t="s">
        <v>958</v>
      </c>
      <c r="Q24" s="662"/>
      <c r="R24" s="662"/>
      <c r="S24" s="662"/>
      <c r="T24" s="662"/>
      <c r="U24" s="662" t="s">
        <v>959</v>
      </c>
      <c r="V24" s="662"/>
      <c r="W24" s="662"/>
      <c r="X24" s="662"/>
      <c r="Y24" s="662"/>
      <c r="Z24" s="662" t="s">
        <v>960</v>
      </c>
      <c r="AA24" s="662"/>
      <c r="AB24" s="662"/>
      <c r="AC24" s="662"/>
      <c r="AD24" s="662"/>
      <c r="AE24" s="662" t="s">
        <v>961</v>
      </c>
      <c r="AF24" s="662"/>
      <c r="AG24" s="662"/>
      <c r="AH24" s="662"/>
      <c r="AI24" s="662"/>
      <c r="AJ24" s="662" t="s">
        <v>962</v>
      </c>
      <c r="AK24" s="662"/>
      <c r="AL24" s="662"/>
      <c r="AM24" s="662"/>
      <c r="AN24" s="662"/>
      <c r="AO24" s="662" t="s">
        <v>963</v>
      </c>
      <c r="AP24" s="662"/>
      <c r="AQ24" s="662"/>
      <c r="AR24" s="662"/>
      <c r="AS24" s="662"/>
      <c r="AT24" s="662" t="s">
        <v>964</v>
      </c>
      <c r="AU24" s="662"/>
      <c r="AV24" s="662"/>
      <c r="AW24" s="662"/>
      <c r="AX24" s="662"/>
      <c r="AY24" s="662" t="s">
        <v>965</v>
      </c>
      <c r="AZ24" s="662"/>
      <c r="BA24" s="662"/>
      <c r="BB24" s="662"/>
      <c r="BC24" s="662"/>
      <c r="BD24" s="662" t="s">
        <v>966</v>
      </c>
      <c r="BE24" s="662"/>
      <c r="BF24" s="662"/>
      <c r="BG24" s="662"/>
      <c r="BH24" s="775"/>
    </row>
    <row r="25" ht="15.95" customHeight="1" spans="1:60">
      <c r="A25" s="661">
        <v>59</v>
      </c>
      <c r="B25" s="662"/>
      <c r="C25" s="662"/>
      <c r="D25" s="662"/>
      <c r="E25" s="662"/>
      <c r="F25" s="662">
        <v>60</v>
      </c>
      <c r="G25" s="662"/>
      <c r="H25" s="662"/>
      <c r="I25" s="662"/>
      <c r="J25" s="662"/>
      <c r="K25" s="662">
        <v>61</v>
      </c>
      <c r="L25" s="662"/>
      <c r="M25" s="662"/>
      <c r="N25" s="662"/>
      <c r="O25" s="662"/>
      <c r="P25" s="662">
        <v>62</v>
      </c>
      <c r="Q25" s="662"/>
      <c r="R25" s="662"/>
      <c r="S25" s="662"/>
      <c r="T25" s="662"/>
      <c r="U25" s="662">
        <v>63</v>
      </c>
      <c r="V25" s="662"/>
      <c r="W25" s="662"/>
      <c r="X25" s="662"/>
      <c r="Y25" s="662"/>
      <c r="Z25" s="662">
        <v>64</v>
      </c>
      <c r="AA25" s="662"/>
      <c r="AB25" s="662"/>
      <c r="AC25" s="662"/>
      <c r="AD25" s="662"/>
      <c r="AE25" s="662">
        <v>65</v>
      </c>
      <c r="AF25" s="662"/>
      <c r="AG25" s="662"/>
      <c r="AH25" s="662"/>
      <c r="AI25" s="662"/>
      <c r="AJ25" s="662">
        <v>66</v>
      </c>
      <c r="AK25" s="662"/>
      <c r="AL25" s="662"/>
      <c r="AM25" s="662"/>
      <c r="AN25" s="662"/>
      <c r="AO25" s="662">
        <v>67</v>
      </c>
      <c r="AP25" s="662"/>
      <c r="AQ25" s="662"/>
      <c r="AR25" s="662"/>
      <c r="AS25" s="662"/>
      <c r="AT25" s="662">
        <v>68</v>
      </c>
      <c r="AU25" s="662"/>
      <c r="AV25" s="662"/>
      <c r="AW25" s="662"/>
      <c r="AX25" s="662"/>
      <c r="AY25" s="662">
        <v>69</v>
      </c>
      <c r="AZ25" s="662"/>
      <c r="BA25" s="662"/>
      <c r="BB25" s="662"/>
      <c r="BC25" s="662"/>
      <c r="BD25" s="662">
        <v>70</v>
      </c>
      <c r="BE25" s="662"/>
      <c r="BF25" s="662"/>
      <c r="BG25" s="662"/>
      <c r="BH25" s="775"/>
    </row>
    <row r="26" ht="15.95" customHeight="1" spans="1:60">
      <c r="A26" s="661" t="s">
        <v>967</v>
      </c>
      <c r="B26" s="662"/>
      <c r="C26" s="662"/>
      <c r="D26" s="662"/>
      <c r="E26" s="662"/>
      <c r="F26" s="662" t="s">
        <v>968</v>
      </c>
      <c r="G26" s="662"/>
      <c r="H26" s="662"/>
      <c r="I26" s="662"/>
      <c r="J26" s="662"/>
      <c r="K26" s="662" t="s">
        <v>969</v>
      </c>
      <c r="L26" s="662"/>
      <c r="M26" s="662"/>
      <c r="N26" s="662"/>
      <c r="O26" s="662"/>
      <c r="P26" s="662" t="s">
        <v>970</v>
      </c>
      <c r="Q26" s="662"/>
      <c r="R26" s="662"/>
      <c r="S26" s="662"/>
      <c r="T26" s="662"/>
      <c r="U26" s="662" t="s">
        <v>971</v>
      </c>
      <c r="V26" s="662"/>
      <c r="W26" s="662"/>
      <c r="X26" s="662"/>
      <c r="Y26" s="662"/>
      <c r="Z26" s="662" t="s">
        <v>972</v>
      </c>
      <c r="AA26" s="662"/>
      <c r="AB26" s="662"/>
      <c r="AC26" s="662"/>
      <c r="AD26" s="662"/>
      <c r="AE26" s="662" t="s">
        <v>973</v>
      </c>
      <c r="AF26" s="662"/>
      <c r="AG26" s="662"/>
      <c r="AH26" s="662"/>
      <c r="AI26" s="662"/>
      <c r="AJ26" s="662" t="s">
        <v>974</v>
      </c>
      <c r="AK26" s="662"/>
      <c r="AL26" s="662"/>
      <c r="AM26" s="662"/>
      <c r="AN26" s="662"/>
      <c r="AO26" s="662" t="s">
        <v>975</v>
      </c>
      <c r="AP26" s="662"/>
      <c r="AQ26" s="662"/>
      <c r="AR26" s="662"/>
      <c r="AS26" s="662"/>
      <c r="AT26" s="662" t="s">
        <v>976</v>
      </c>
      <c r="AU26" s="662"/>
      <c r="AV26" s="662"/>
      <c r="AW26" s="662"/>
      <c r="AX26" s="662"/>
      <c r="AY26" s="662" t="s">
        <v>977</v>
      </c>
      <c r="AZ26" s="662"/>
      <c r="BA26" s="662"/>
      <c r="BB26" s="662"/>
      <c r="BC26" s="662"/>
      <c r="BD26" s="662" t="s">
        <v>978</v>
      </c>
      <c r="BE26" s="662"/>
      <c r="BF26" s="662"/>
      <c r="BG26" s="662"/>
      <c r="BH26" s="775"/>
    </row>
    <row r="27" ht="15.95" customHeight="1" spans="1:60">
      <c r="A27" s="661">
        <v>71</v>
      </c>
      <c r="B27" s="662"/>
      <c r="C27" s="662"/>
      <c r="D27" s="662"/>
      <c r="E27" s="662"/>
      <c r="F27" s="662">
        <v>72</v>
      </c>
      <c r="G27" s="662"/>
      <c r="H27" s="662"/>
      <c r="I27" s="662"/>
      <c r="J27" s="662"/>
      <c r="K27" s="662">
        <v>73</v>
      </c>
      <c r="L27" s="662"/>
      <c r="M27" s="662"/>
      <c r="N27" s="662"/>
      <c r="O27" s="662"/>
      <c r="P27" s="662">
        <v>74</v>
      </c>
      <c r="Q27" s="662"/>
      <c r="R27" s="662"/>
      <c r="S27" s="662"/>
      <c r="T27" s="662"/>
      <c r="U27" s="662">
        <v>75</v>
      </c>
      <c r="V27" s="662"/>
      <c r="W27" s="662"/>
      <c r="X27" s="662"/>
      <c r="Y27" s="662"/>
      <c r="Z27" s="662">
        <v>76</v>
      </c>
      <c r="AA27" s="662"/>
      <c r="AB27" s="662"/>
      <c r="AC27" s="662"/>
      <c r="AD27" s="662"/>
      <c r="AE27" s="662">
        <v>77</v>
      </c>
      <c r="AF27" s="662"/>
      <c r="AG27" s="662"/>
      <c r="AH27" s="662"/>
      <c r="AI27" s="662"/>
      <c r="AJ27" s="662">
        <v>78</v>
      </c>
      <c r="AK27" s="662"/>
      <c r="AL27" s="662"/>
      <c r="AM27" s="662"/>
      <c r="AN27" s="662"/>
      <c r="AO27" s="662">
        <v>79</v>
      </c>
      <c r="AP27" s="662"/>
      <c r="AQ27" s="662"/>
      <c r="AR27" s="662"/>
      <c r="AS27" s="662"/>
      <c r="AT27" s="662">
        <v>80</v>
      </c>
      <c r="AU27" s="662"/>
      <c r="AV27" s="662"/>
      <c r="AW27" s="662"/>
      <c r="AX27" s="662"/>
      <c r="AY27" s="662">
        <v>81</v>
      </c>
      <c r="AZ27" s="662"/>
      <c r="BA27" s="662"/>
      <c r="BB27" s="662"/>
      <c r="BC27" s="662"/>
      <c r="BD27" s="662">
        <v>82</v>
      </c>
      <c r="BE27" s="662"/>
      <c r="BF27" s="662"/>
      <c r="BG27" s="662"/>
      <c r="BH27" s="775"/>
    </row>
    <row r="28" ht="15.95" customHeight="1" spans="1:60">
      <c r="A28" s="661" t="s">
        <v>979</v>
      </c>
      <c r="B28" s="662"/>
      <c r="C28" s="662"/>
      <c r="D28" s="662"/>
      <c r="E28" s="662"/>
      <c r="F28" s="662" t="s">
        <v>980</v>
      </c>
      <c r="G28" s="662"/>
      <c r="H28" s="662"/>
      <c r="I28" s="662"/>
      <c r="J28" s="662"/>
      <c r="K28" s="662" t="s">
        <v>981</v>
      </c>
      <c r="L28" s="662"/>
      <c r="M28" s="662"/>
      <c r="N28" s="662"/>
      <c r="O28" s="662"/>
      <c r="P28" s="662" t="s">
        <v>982</v>
      </c>
      <c r="Q28" s="662"/>
      <c r="R28" s="662"/>
      <c r="S28" s="662"/>
      <c r="T28" s="662"/>
      <c r="U28" s="662" t="s">
        <v>983</v>
      </c>
      <c r="V28" s="662"/>
      <c r="W28" s="662"/>
      <c r="X28" s="662"/>
      <c r="Y28" s="662"/>
      <c r="Z28" s="662" t="s">
        <v>984</v>
      </c>
      <c r="AA28" s="662"/>
      <c r="AB28" s="662"/>
      <c r="AC28" s="662"/>
      <c r="AD28" s="662"/>
      <c r="AE28" s="662" t="s">
        <v>985</v>
      </c>
      <c r="AF28" s="662"/>
      <c r="AG28" s="662"/>
      <c r="AH28" s="662"/>
      <c r="AI28" s="662"/>
      <c r="AJ28" s="662" t="s">
        <v>986</v>
      </c>
      <c r="AK28" s="662"/>
      <c r="AL28" s="662"/>
      <c r="AM28" s="662"/>
      <c r="AN28" s="662"/>
      <c r="AO28" s="662" t="s">
        <v>987</v>
      </c>
      <c r="AP28" s="662"/>
      <c r="AQ28" s="662"/>
      <c r="AR28" s="662"/>
      <c r="AS28" s="662"/>
      <c r="AT28" s="662" t="s">
        <v>988</v>
      </c>
      <c r="AU28" s="662"/>
      <c r="AV28" s="662"/>
      <c r="AW28" s="662"/>
      <c r="AX28" s="662"/>
      <c r="AY28" s="662" t="s">
        <v>989</v>
      </c>
      <c r="AZ28" s="662"/>
      <c r="BA28" s="662"/>
      <c r="BB28" s="662"/>
      <c r="BC28" s="662"/>
      <c r="BD28" s="662" t="s">
        <v>990</v>
      </c>
      <c r="BE28" s="662"/>
      <c r="BF28" s="662"/>
      <c r="BG28" s="662"/>
      <c r="BH28" s="775"/>
    </row>
    <row r="29" ht="15.95" customHeight="1" spans="1:60">
      <c r="A29" s="661">
        <v>83</v>
      </c>
      <c r="B29" s="662"/>
      <c r="C29" s="662"/>
      <c r="D29" s="662"/>
      <c r="E29" s="662"/>
      <c r="F29" s="662">
        <v>84</v>
      </c>
      <c r="G29" s="662"/>
      <c r="H29" s="662"/>
      <c r="I29" s="662"/>
      <c r="J29" s="662"/>
      <c r="K29" s="662">
        <v>85</v>
      </c>
      <c r="L29" s="662"/>
      <c r="M29" s="662"/>
      <c r="N29" s="662"/>
      <c r="O29" s="662"/>
      <c r="P29" s="662">
        <v>86</v>
      </c>
      <c r="Q29" s="662"/>
      <c r="R29" s="662"/>
      <c r="S29" s="662"/>
      <c r="T29" s="662"/>
      <c r="U29" s="662">
        <v>87</v>
      </c>
      <c r="V29" s="662"/>
      <c r="W29" s="662"/>
      <c r="X29" s="662"/>
      <c r="Y29" s="662"/>
      <c r="Z29" s="662">
        <v>88</v>
      </c>
      <c r="AA29" s="662"/>
      <c r="AB29" s="662"/>
      <c r="AC29" s="662"/>
      <c r="AD29" s="662"/>
      <c r="AE29" s="662">
        <v>89</v>
      </c>
      <c r="AF29" s="662"/>
      <c r="AG29" s="662"/>
      <c r="AH29" s="662"/>
      <c r="AI29" s="662"/>
      <c r="AJ29" s="662">
        <v>90</v>
      </c>
      <c r="AK29" s="662"/>
      <c r="AL29" s="662"/>
      <c r="AM29" s="662"/>
      <c r="AN29" s="662"/>
      <c r="AO29" s="662">
        <v>91</v>
      </c>
      <c r="AP29" s="662"/>
      <c r="AQ29" s="662"/>
      <c r="AR29" s="662"/>
      <c r="AS29" s="662"/>
      <c r="AT29" s="662">
        <v>92</v>
      </c>
      <c r="AU29" s="662"/>
      <c r="AV29" s="662"/>
      <c r="AW29" s="662"/>
      <c r="AX29" s="662"/>
      <c r="AY29" s="662">
        <v>93</v>
      </c>
      <c r="AZ29" s="662"/>
      <c r="BA29" s="662"/>
      <c r="BB29" s="662"/>
      <c r="BC29" s="662"/>
      <c r="BD29" s="662">
        <v>94</v>
      </c>
      <c r="BE29" s="662"/>
      <c r="BF29" s="662"/>
      <c r="BG29" s="662"/>
      <c r="BH29" s="775"/>
    </row>
    <row r="30" ht="15.95" customHeight="1" spans="1:60">
      <c r="A30" s="661" t="s">
        <v>991</v>
      </c>
      <c r="B30" s="662"/>
      <c r="C30" s="662"/>
      <c r="D30" s="662"/>
      <c r="E30" s="662"/>
      <c r="F30" s="662" t="s">
        <v>992</v>
      </c>
      <c r="G30" s="662"/>
      <c r="H30" s="662"/>
      <c r="I30" s="662"/>
      <c r="J30" s="662"/>
      <c r="K30" s="662" t="s">
        <v>993</v>
      </c>
      <c r="L30" s="662"/>
      <c r="M30" s="662"/>
      <c r="N30" s="662"/>
      <c r="O30" s="662"/>
      <c r="P30" s="662" t="s">
        <v>994</v>
      </c>
      <c r="Q30" s="662"/>
      <c r="R30" s="662"/>
      <c r="S30" s="662"/>
      <c r="T30" s="662"/>
      <c r="U30" s="662" t="s">
        <v>995</v>
      </c>
      <c r="V30" s="662"/>
      <c r="W30" s="662"/>
      <c r="X30" s="662"/>
      <c r="Y30" s="662"/>
      <c r="Z30" s="662" t="s">
        <v>996</v>
      </c>
      <c r="AA30" s="662"/>
      <c r="AB30" s="662"/>
      <c r="AC30" s="662"/>
      <c r="AD30" s="662"/>
      <c r="AE30" s="662" t="s">
        <v>997</v>
      </c>
      <c r="AF30" s="662"/>
      <c r="AG30" s="662"/>
      <c r="AH30" s="662"/>
      <c r="AI30" s="662"/>
      <c r="AJ30" s="662" t="s">
        <v>998</v>
      </c>
      <c r="AK30" s="662"/>
      <c r="AL30" s="662"/>
      <c r="AM30" s="662"/>
      <c r="AN30" s="662"/>
      <c r="AO30" s="662" t="s">
        <v>999</v>
      </c>
      <c r="AP30" s="662"/>
      <c r="AQ30" s="662"/>
      <c r="AR30" s="662"/>
      <c r="AS30" s="662"/>
      <c r="AT30" s="662" t="s">
        <v>1000</v>
      </c>
      <c r="AU30" s="662"/>
      <c r="AV30" s="662"/>
      <c r="AW30" s="662"/>
      <c r="AX30" s="662"/>
      <c r="AY30" s="662" t="s">
        <v>1001</v>
      </c>
      <c r="AZ30" s="662"/>
      <c r="BA30" s="662"/>
      <c r="BB30" s="662"/>
      <c r="BC30" s="662"/>
      <c r="BD30" s="662" t="s">
        <v>1002</v>
      </c>
      <c r="BE30" s="662"/>
      <c r="BF30" s="662"/>
      <c r="BG30" s="662"/>
      <c r="BH30" s="775"/>
    </row>
    <row r="31" ht="15.95" customHeight="1" spans="1:60">
      <c r="A31" s="661">
        <v>95</v>
      </c>
      <c r="B31" s="662"/>
      <c r="C31" s="662"/>
      <c r="D31" s="662"/>
      <c r="E31" s="662"/>
      <c r="F31" s="662">
        <v>96</v>
      </c>
      <c r="G31" s="662"/>
      <c r="H31" s="662"/>
      <c r="I31" s="662"/>
      <c r="J31" s="662"/>
      <c r="K31" s="662">
        <v>97</v>
      </c>
      <c r="L31" s="662"/>
      <c r="M31" s="662"/>
      <c r="N31" s="662"/>
      <c r="O31" s="662"/>
      <c r="P31" s="662">
        <v>98</v>
      </c>
      <c r="Q31" s="662"/>
      <c r="R31" s="662"/>
      <c r="S31" s="662"/>
      <c r="T31" s="662"/>
      <c r="U31" s="662">
        <v>99</v>
      </c>
      <c r="V31" s="662"/>
      <c r="W31" s="662"/>
      <c r="X31" s="662"/>
      <c r="Y31" s="662"/>
      <c r="Z31" s="662">
        <v>100</v>
      </c>
      <c r="AA31" s="662"/>
      <c r="AB31" s="662"/>
      <c r="AC31" s="662"/>
      <c r="AD31" s="662"/>
      <c r="AE31" s="662">
        <v>101</v>
      </c>
      <c r="AF31" s="662"/>
      <c r="AG31" s="662"/>
      <c r="AH31" s="662"/>
      <c r="AI31" s="662"/>
      <c r="AJ31" s="662">
        <v>102</v>
      </c>
      <c r="AK31" s="662"/>
      <c r="AL31" s="662"/>
      <c r="AM31" s="662"/>
      <c r="AN31" s="662"/>
      <c r="AO31" s="662">
        <v>103</v>
      </c>
      <c r="AP31" s="662"/>
      <c r="AQ31" s="662"/>
      <c r="AR31" s="662"/>
      <c r="AS31" s="662"/>
      <c r="AT31" s="662">
        <v>104</v>
      </c>
      <c r="AU31" s="662"/>
      <c r="AV31" s="662"/>
      <c r="AW31" s="662"/>
      <c r="AX31" s="662"/>
      <c r="AY31" s="662">
        <v>105</v>
      </c>
      <c r="AZ31" s="662"/>
      <c r="BA31" s="662"/>
      <c r="BB31" s="662"/>
      <c r="BC31" s="662"/>
      <c r="BD31" s="662">
        <v>106</v>
      </c>
      <c r="BE31" s="662"/>
      <c r="BF31" s="662"/>
      <c r="BG31" s="662"/>
      <c r="BH31" s="775"/>
    </row>
    <row r="32" ht="15.95" customHeight="1" spans="1:60">
      <c r="A32" s="661" t="s">
        <v>1003</v>
      </c>
      <c r="B32" s="662"/>
      <c r="C32" s="662"/>
      <c r="D32" s="662"/>
      <c r="E32" s="662"/>
      <c r="F32" s="662" t="s">
        <v>1004</v>
      </c>
      <c r="G32" s="662"/>
      <c r="H32" s="662"/>
      <c r="I32" s="662"/>
      <c r="J32" s="662"/>
      <c r="K32" s="662" t="s">
        <v>1005</v>
      </c>
      <c r="L32" s="662"/>
      <c r="M32" s="662"/>
      <c r="N32" s="662"/>
      <c r="O32" s="662"/>
      <c r="P32" s="662" t="s">
        <v>1006</v>
      </c>
      <c r="Q32" s="662"/>
      <c r="R32" s="662"/>
      <c r="S32" s="662"/>
      <c r="T32" s="662"/>
      <c r="U32" s="662" t="s">
        <v>1007</v>
      </c>
      <c r="V32" s="662"/>
      <c r="W32" s="662"/>
      <c r="X32" s="662"/>
      <c r="Y32" s="662"/>
      <c r="Z32" s="662" t="s">
        <v>1008</v>
      </c>
      <c r="AA32" s="662"/>
      <c r="AB32" s="662"/>
      <c r="AC32" s="662"/>
      <c r="AD32" s="662"/>
      <c r="AE32" s="662" t="s">
        <v>1009</v>
      </c>
      <c r="AF32" s="662"/>
      <c r="AG32" s="662"/>
      <c r="AH32" s="662"/>
      <c r="AI32" s="662"/>
      <c r="AJ32" s="662" t="s">
        <v>1010</v>
      </c>
      <c r="AK32" s="662"/>
      <c r="AL32" s="662"/>
      <c r="AM32" s="662"/>
      <c r="AN32" s="662"/>
      <c r="AO32" s="662" t="s">
        <v>1011</v>
      </c>
      <c r="AP32" s="662"/>
      <c r="AQ32" s="662"/>
      <c r="AR32" s="662"/>
      <c r="AS32" s="662"/>
      <c r="AT32" s="662" t="s">
        <v>1012</v>
      </c>
      <c r="AU32" s="662"/>
      <c r="AV32" s="662"/>
      <c r="AW32" s="662"/>
      <c r="AX32" s="662"/>
      <c r="AY32" s="662" t="s">
        <v>1013</v>
      </c>
      <c r="AZ32" s="662"/>
      <c r="BA32" s="662"/>
      <c r="BB32" s="662"/>
      <c r="BC32" s="662"/>
      <c r="BD32" s="662" t="s">
        <v>1014</v>
      </c>
      <c r="BE32" s="662"/>
      <c r="BF32" s="662"/>
      <c r="BG32" s="662"/>
      <c r="BH32" s="775"/>
    </row>
    <row r="33" ht="24" customHeight="1" spans="1:60">
      <c r="A33" s="663" t="str">
        <f>IF(目录!G2="中文",对照!Z35,IF(目录!G2="English",对照!AA35,对照!Z35))</f>
        <v>模温控制</v>
      </c>
      <c r="B33" s="664"/>
      <c r="C33" s="664"/>
      <c r="D33" s="664"/>
      <c r="E33" s="664"/>
      <c r="F33" s="664"/>
      <c r="G33" s="664"/>
      <c r="H33" s="664"/>
      <c r="I33" s="664"/>
      <c r="J33" s="664"/>
      <c r="K33" s="664"/>
      <c r="L33" s="664"/>
      <c r="M33" s="664"/>
      <c r="N33" s="664"/>
      <c r="O33" s="664"/>
      <c r="P33" s="664"/>
      <c r="Q33" s="664"/>
      <c r="R33" s="664"/>
      <c r="S33" s="664"/>
      <c r="T33" s="664"/>
      <c r="U33" s="664"/>
      <c r="V33" s="664"/>
      <c r="W33" s="664"/>
      <c r="X33" s="664"/>
      <c r="Y33" s="664"/>
      <c r="Z33" s="664"/>
      <c r="AA33" s="664"/>
      <c r="AB33" s="664"/>
      <c r="AC33" s="664"/>
      <c r="AD33" s="664"/>
      <c r="AE33" s="664"/>
      <c r="AF33" s="664"/>
      <c r="AG33" s="664"/>
      <c r="AH33" s="664"/>
      <c r="AI33" s="664"/>
      <c r="AJ33" s="664"/>
      <c r="AK33" s="664"/>
      <c r="AL33" s="664"/>
      <c r="AM33" s="664"/>
      <c r="AN33" s="664"/>
      <c r="AO33" s="664"/>
      <c r="AP33" s="664"/>
      <c r="AQ33" s="664"/>
      <c r="AR33" s="664"/>
      <c r="AS33" s="664"/>
      <c r="AT33" s="664"/>
      <c r="AU33" s="664"/>
      <c r="AV33" s="664"/>
      <c r="AW33" s="664"/>
      <c r="AX33" s="664"/>
      <c r="AY33" s="664"/>
      <c r="AZ33" s="664"/>
      <c r="BA33" s="664"/>
      <c r="BB33" s="664"/>
      <c r="BC33" s="664"/>
      <c r="BD33" s="664"/>
      <c r="BE33" s="664"/>
      <c r="BF33" s="664"/>
      <c r="BG33" s="664"/>
      <c r="BH33" s="777"/>
    </row>
    <row r="34" ht="15.95" customHeight="1" spans="1:60">
      <c r="A34" s="655" t="str">
        <f>IF(目录!G2="中文",对照!Z36,IF(目录!G2="English",对照!AA36,对照!Z36))</f>
        <v>加热方式：</v>
      </c>
      <c r="B34" s="656"/>
      <c r="C34" s="656"/>
      <c r="D34" s="656"/>
      <c r="E34" s="656"/>
      <c r="F34" s="656"/>
      <c r="G34" s="656"/>
      <c r="H34" s="656"/>
      <c r="I34" s="656"/>
      <c r="J34" s="656"/>
      <c r="K34" s="656"/>
      <c r="L34" s="656"/>
      <c r="M34" s="656"/>
      <c r="N34" s="656"/>
      <c r="O34" s="707"/>
      <c r="P34" s="658" t="str">
        <f>IF(目录!G2="中文",对照!Z28,IF(目录!G2="English",对照!AA28,对照!Z28))</f>
        <v>单位</v>
      </c>
      <c r="Q34" s="658"/>
      <c r="R34" s="658"/>
      <c r="S34" s="658"/>
      <c r="T34" s="658"/>
      <c r="U34" s="732" t="s">
        <v>896</v>
      </c>
      <c r="V34" s="732"/>
      <c r="W34" s="732"/>
      <c r="X34" s="732"/>
      <c r="Y34" s="732"/>
      <c r="Z34" s="741"/>
      <c r="AA34" s="742"/>
      <c r="AB34" s="742"/>
      <c r="AC34" s="742"/>
      <c r="AD34" s="742"/>
      <c r="AE34" s="742"/>
      <c r="AF34" s="742"/>
      <c r="AG34" s="742"/>
      <c r="AH34" s="742"/>
      <c r="AI34" s="742"/>
      <c r="AJ34" s="742"/>
      <c r="AK34" s="742"/>
      <c r="AL34" s="742"/>
      <c r="AM34" s="742"/>
      <c r="AN34" s="742"/>
      <c r="AO34" s="742"/>
      <c r="AP34" s="742"/>
      <c r="AQ34" s="742"/>
      <c r="AR34" s="742"/>
      <c r="AS34" s="742"/>
      <c r="AT34" s="742"/>
      <c r="AU34" s="742"/>
      <c r="AV34" s="742"/>
      <c r="AW34" s="742"/>
      <c r="AX34" s="742"/>
      <c r="AY34" s="742"/>
      <c r="AZ34" s="742"/>
      <c r="BA34" s="742"/>
      <c r="BB34" s="742"/>
      <c r="BC34" s="742"/>
      <c r="BD34" s="742"/>
      <c r="BE34" s="742"/>
      <c r="BF34" s="742"/>
      <c r="BG34" s="742"/>
      <c r="BH34" s="764"/>
    </row>
    <row r="35" ht="15.95" customHeight="1" spans="1:60">
      <c r="A35" s="665"/>
      <c r="B35" s="666"/>
      <c r="C35" s="666"/>
      <c r="D35" s="666"/>
      <c r="E35" s="666"/>
      <c r="F35" s="666"/>
      <c r="G35" s="666"/>
      <c r="H35" s="666"/>
      <c r="I35" s="666"/>
      <c r="J35" s="666"/>
      <c r="K35" s="666"/>
      <c r="L35" s="666"/>
      <c r="M35" s="666"/>
      <c r="N35" s="666"/>
      <c r="O35" s="708"/>
      <c r="P35" s="709"/>
      <c r="Q35" s="733"/>
      <c r="R35" s="733"/>
      <c r="S35" s="733"/>
      <c r="T35" s="733"/>
      <c r="U35" s="733"/>
      <c r="V35" s="733"/>
      <c r="W35" s="733"/>
      <c r="X35" s="733"/>
      <c r="Y35" s="733"/>
      <c r="Z35" s="733"/>
      <c r="AA35" s="733"/>
      <c r="AB35" s="733"/>
      <c r="AC35" s="733"/>
      <c r="AD35" s="733"/>
      <c r="AE35" s="733"/>
      <c r="AF35" s="733"/>
      <c r="AG35" s="733"/>
      <c r="AH35" s="733"/>
      <c r="AI35" s="733"/>
      <c r="AJ35" s="733"/>
      <c r="AK35" s="733"/>
      <c r="AL35" s="733"/>
      <c r="AM35" s="733"/>
      <c r="AN35" s="733"/>
      <c r="AO35" s="733"/>
      <c r="AP35" s="733"/>
      <c r="AQ35" s="733"/>
      <c r="AR35" s="733"/>
      <c r="AS35" s="733"/>
      <c r="AT35" s="733"/>
      <c r="AU35" s="733"/>
      <c r="AV35" s="733"/>
      <c r="AW35" s="733"/>
      <c r="AX35" s="733"/>
      <c r="AY35" s="733"/>
      <c r="AZ35" s="733"/>
      <c r="BA35" s="733"/>
      <c r="BB35" s="733"/>
      <c r="BC35" s="733"/>
      <c r="BD35" s="733"/>
      <c r="BE35" s="733"/>
      <c r="BF35" s="733"/>
      <c r="BG35" s="733"/>
      <c r="BH35" s="778"/>
    </row>
    <row r="36" ht="15.95" customHeight="1" spans="1:60">
      <c r="A36" s="661" t="str">
        <f>IF(目录!G2="中文",对照!Z37,IF(目录!G2="English",对照!AA37,对照!Z37))</f>
        <v>水温</v>
      </c>
      <c r="B36" s="662"/>
      <c r="C36" s="662"/>
      <c r="D36" s="662"/>
      <c r="E36" s="662"/>
      <c r="F36" s="662"/>
      <c r="G36" s="667"/>
      <c r="H36" s="668"/>
      <c r="I36" s="668"/>
      <c r="J36" s="668"/>
      <c r="K36" s="668"/>
      <c r="L36" s="668"/>
      <c r="M36" s="668"/>
      <c r="N36" s="668"/>
      <c r="O36" s="710"/>
      <c r="P36" s="711"/>
      <c r="Q36" s="734"/>
      <c r="R36" s="734"/>
      <c r="S36" s="734"/>
      <c r="T36" s="734"/>
      <c r="U36" s="734"/>
      <c r="V36" s="734"/>
      <c r="W36" s="734"/>
      <c r="X36" s="734"/>
      <c r="Y36" s="734"/>
      <c r="Z36" s="734"/>
      <c r="AA36" s="734"/>
      <c r="AB36" s="734"/>
      <c r="AC36" s="734"/>
      <c r="AD36" s="745" t="str">
        <f>IF(目录!G2="中文",对照!Z40,IF(目录!G2="English",对照!AA40,对照!Z40))</f>
        <v>1.实测</v>
      </c>
      <c r="AE36" s="745"/>
      <c r="AF36" s="745"/>
      <c r="AG36" s="746"/>
      <c r="AH36" s="752"/>
      <c r="AI36" s="752"/>
      <c r="AJ36" s="752"/>
      <c r="AK36" s="745" t="s">
        <v>896</v>
      </c>
      <c r="AL36" s="745"/>
      <c r="AM36" s="734"/>
      <c r="AN36" s="734"/>
      <c r="AO36" s="734"/>
      <c r="AP36" s="734"/>
      <c r="AQ36" s="734"/>
      <c r="AR36" s="734"/>
      <c r="AS36" s="734"/>
      <c r="AT36" s="734"/>
      <c r="AU36" s="734"/>
      <c r="AV36" s="746" t="str">
        <f>IF(目录!G2="中文",对照!Z40,IF(目录!G2="English",对照!AA40,对照!Z40))</f>
        <v>1.实测</v>
      </c>
      <c r="AW36" s="746"/>
      <c r="AX36" s="746"/>
      <c r="AY36" s="746"/>
      <c r="AZ36" s="752"/>
      <c r="BA36" s="752"/>
      <c r="BB36" s="752"/>
      <c r="BC36" s="745" t="s">
        <v>896</v>
      </c>
      <c r="BD36" s="745"/>
      <c r="BE36" s="745"/>
      <c r="BF36" s="745"/>
      <c r="BG36" s="745"/>
      <c r="BH36" s="779"/>
    </row>
    <row r="37" ht="15.95" customHeight="1" spans="1:60">
      <c r="A37" s="669"/>
      <c r="B37" s="670"/>
      <c r="C37" s="670"/>
      <c r="D37" s="670"/>
      <c r="E37" s="670"/>
      <c r="F37" s="670"/>
      <c r="G37" s="670"/>
      <c r="H37" s="670"/>
      <c r="I37" s="670"/>
      <c r="J37" s="670"/>
      <c r="K37" s="670"/>
      <c r="L37" s="670"/>
      <c r="M37" s="670"/>
      <c r="N37" s="670"/>
      <c r="O37" s="688"/>
      <c r="P37" s="711"/>
      <c r="Q37" s="734"/>
      <c r="R37" s="734"/>
      <c r="S37" s="734"/>
      <c r="T37" s="734"/>
      <c r="U37" s="734"/>
      <c r="V37" s="734"/>
      <c r="W37" s="734"/>
      <c r="X37" s="734"/>
      <c r="Y37" s="734"/>
      <c r="Z37" s="734"/>
      <c r="AA37" s="734"/>
      <c r="AB37" s="734"/>
      <c r="AC37" s="734"/>
      <c r="AD37" s="734"/>
      <c r="AE37" s="734"/>
      <c r="AF37" s="734"/>
      <c r="AG37" s="734"/>
      <c r="AH37" s="734"/>
      <c r="AI37" s="734"/>
      <c r="AJ37" s="734"/>
      <c r="AK37" s="734"/>
      <c r="AL37" s="734"/>
      <c r="AM37" s="734"/>
      <c r="AN37" s="734"/>
      <c r="AO37" s="734"/>
      <c r="AP37" s="734"/>
      <c r="AQ37" s="734"/>
      <c r="AR37" s="734"/>
      <c r="AS37" s="734"/>
      <c r="AT37" s="734"/>
      <c r="AU37" s="734"/>
      <c r="AV37" s="734"/>
      <c r="AW37" s="734"/>
      <c r="AX37" s="734"/>
      <c r="AY37" s="734"/>
      <c r="AZ37" s="734"/>
      <c r="BA37" s="734"/>
      <c r="BB37" s="734"/>
      <c r="BC37" s="734"/>
      <c r="BD37" s="734"/>
      <c r="BE37" s="745"/>
      <c r="BF37" s="745"/>
      <c r="BG37" s="780"/>
      <c r="BH37" s="781"/>
    </row>
    <row r="38" ht="15.95" customHeight="1" spans="1:60">
      <c r="A38" s="661" t="str">
        <f>IF(目录!G2="中文",对照!Z38,IF(目录!G2="English",对照!AA38,对照!Z38))</f>
        <v>油温</v>
      </c>
      <c r="B38" s="662"/>
      <c r="C38" s="662"/>
      <c r="D38" s="662"/>
      <c r="E38" s="662"/>
      <c r="F38" s="662"/>
      <c r="G38" s="667"/>
      <c r="H38" s="668"/>
      <c r="I38" s="668"/>
      <c r="J38" s="668"/>
      <c r="K38" s="668"/>
      <c r="L38" s="668"/>
      <c r="M38" s="668"/>
      <c r="N38" s="668"/>
      <c r="O38" s="710"/>
      <c r="P38" s="711"/>
      <c r="Q38" s="734"/>
      <c r="R38" s="734"/>
      <c r="S38" s="734"/>
      <c r="T38" s="734"/>
      <c r="U38" s="734"/>
      <c r="V38" s="734"/>
      <c r="W38" s="734"/>
      <c r="X38" s="734"/>
      <c r="Y38" s="734"/>
      <c r="Z38" s="734"/>
      <c r="AA38" s="734"/>
      <c r="AB38" s="734"/>
      <c r="AC38" s="734"/>
      <c r="AD38" s="746" t="str">
        <f>IF(目录!G2="中文",对照!Z41,IF(目录!G2="English",对照!AA41,对照!Z41))</f>
        <v>2.实测</v>
      </c>
      <c r="AE38" s="746"/>
      <c r="AF38" s="746"/>
      <c r="AG38" s="746"/>
      <c r="AH38" s="752"/>
      <c r="AI38" s="752"/>
      <c r="AJ38" s="752"/>
      <c r="AK38" s="745" t="s">
        <v>896</v>
      </c>
      <c r="AL38" s="745"/>
      <c r="AM38" s="734"/>
      <c r="AN38" s="734"/>
      <c r="AO38" s="734"/>
      <c r="AP38" s="734"/>
      <c r="AQ38" s="734"/>
      <c r="AR38" s="734"/>
      <c r="AS38" s="734"/>
      <c r="AT38" s="734"/>
      <c r="AU38" s="734"/>
      <c r="AV38" s="746" t="str">
        <f>IF(目录!G2="中文",对照!Z41,IF(目录!G2="English",对照!AA41,对照!Z41))</f>
        <v>2.实测</v>
      </c>
      <c r="AW38" s="746"/>
      <c r="AX38" s="746"/>
      <c r="AY38" s="746"/>
      <c r="AZ38" s="752"/>
      <c r="BA38" s="752"/>
      <c r="BB38" s="752"/>
      <c r="BC38" s="745" t="s">
        <v>896</v>
      </c>
      <c r="BD38" s="745"/>
      <c r="BE38" s="745"/>
      <c r="BF38" s="745"/>
      <c r="BG38" s="745"/>
      <c r="BH38" s="779"/>
    </row>
    <row r="39" ht="15.95" customHeight="1" spans="1:60">
      <c r="A39" s="669"/>
      <c r="B39" s="670"/>
      <c r="C39" s="670"/>
      <c r="D39" s="670"/>
      <c r="E39" s="670"/>
      <c r="F39" s="670"/>
      <c r="G39" s="670"/>
      <c r="H39" s="670"/>
      <c r="I39" s="670"/>
      <c r="J39" s="670"/>
      <c r="K39" s="670"/>
      <c r="L39" s="670"/>
      <c r="M39" s="670"/>
      <c r="N39" s="670"/>
      <c r="O39" s="688"/>
      <c r="P39" s="711"/>
      <c r="Q39" s="734"/>
      <c r="R39" s="734"/>
      <c r="S39" s="734"/>
      <c r="T39" s="734"/>
      <c r="U39" s="734"/>
      <c r="V39" s="734"/>
      <c r="W39" s="734"/>
      <c r="X39" s="734"/>
      <c r="Y39" s="734"/>
      <c r="Z39" s="734"/>
      <c r="AA39" s="734"/>
      <c r="AB39" s="734"/>
      <c r="AC39" s="734"/>
      <c r="AD39" s="734"/>
      <c r="AE39" s="734"/>
      <c r="AF39" s="734"/>
      <c r="AG39" s="734"/>
      <c r="AH39" s="734"/>
      <c r="AI39" s="734"/>
      <c r="AJ39" s="734"/>
      <c r="AK39" s="734"/>
      <c r="AL39" s="734"/>
      <c r="AM39" s="734"/>
      <c r="AN39" s="734"/>
      <c r="AO39" s="734"/>
      <c r="AP39" s="734"/>
      <c r="AQ39" s="734"/>
      <c r="AR39" s="734"/>
      <c r="AS39" s="734"/>
      <c r="AT39" s="734"/>
      <c r="AU39" s="734"/>
      <c r="AV39" s="734"/>
      <c r="AW39" s="734"/>
      <c r="AX39" s="734"/>
      <c r="AY39" s="734"/>
      <c r="AZ39" s="734"/>
      <c r="BA39" s="734"/>
      <c r="BB39" s="734"/>
      <c r="BC39" s="734"/>
      <c r="BD39" s="734"/>
      <c r="BE39" s="745"/>
      <c r="BF39" s="745"/>
      <c r="BG39" s="780"/>
      <c r="BH39" s="781"/>
    </row>
    <row r="40" ht="15.95" customHeight="1" spans="1:60">
      <c r="A40" s="661" t="str">
        <f>IF(目录!G2="中文",对照!Z39,IF(目录!G2="English",对照!AA39,对照!Z39))</f>
        <v>电加热</v>
      </c>
      <c r="B40" s="662"/>
      <c r="C40" s="662"/>
      <c r="D40" s="662"/>
      <c r="E40" s="662"/>
      <c r="F40" s="662"/>
      <c r="G40" s="667"/>
      <c r="H40" s="668"/>
      <c r="I40" s="668"/>
      <c r="J40" s="668"/>
      <c r="K40" s="668"/>
      <c r="L40" s="668"/>
      <c r="M40" s="668"/>
      <c r="N40" s="668"/>
      <c r="O40" s="710"/>
      <c r="P40" s="711"/>
      <c r="Q40" s="734"/>
      <c r="R40" s="734"/>
      <c r="S40" s="734"/>
      <c r="T40" s="734"/>
      <c r="U40" s="734"/>
      <c r="V40" s="734"/>
      <c r="W40" s="734"/>
      <c r="X40" s="734"/>
      <c r="Y40" s="734"/>
      <c r="Z40" s="734"/>
      <c r="AA40" s="734"/>
      <c r="AB40" s="734"/>
      <c r="AC40" s="734"/>
      <c r="AD40" s="745" t="str">
        <f>IF(目录!G2="中文",对照!Z42,IF(目录!G2="English",对照!AA42,对照!Z42))</f>
        <v>3.实测</v>
      </c>
      <c r="AE40" s="745"/>
      <c r="AF40" s="745"/>
      <c r="AG40" s="746"/>
      <c r="AH40" s="752"/>
      <c r="AI40" s="752"/>
      <c r="AJ40" s="752"/>
      <c r="AK40" s="745" t="s">
        <v>896</v>
      </c>
      <c r="AL40" s="745"/>
      <c r="AM40" s="734"/>
      <c r="AN40" s="734"/>
      <c r="AO40" s="734"/>
      <c r="AP40" s="734"/>
      <c r="AQ40" s="734"/>
      <c r="AR40" s="734"/>
      <c r="AS40" s="734"/>
      <c r="AT40" s="734"/>
      <c r="AU40" s="734"/>
      <c r="AV40" s="746" t="str">
        <f>IF(目录!G2="中文",对照!Z42,IF(目录!G2="English",对照!AA42,对照!Z42))</f>
        <v>3.实测</v>
      </c>
      <c r="AW40" s="746"/>
      <c r="AX40" s="746"/>
      <c r="AY40" s="746"/>
      <c r="AZ40" s="752"/>
      <c r="BA40" s="752"/>
      <c r="BB40" s="752"/>
      <c r="BC40" s="745" t="s">
        <v>896</v>
      </c>
      <c r="BD40" s="745"/>
      <c r="BE40" s="745"/>
      <c r="BF40" s="745"/>
      <c r="BG40" s="745"/>
      <c r="BH40" s="779"/>
    </row>
    <row r="41" ht="15.95" customHeight="1" spans="1:60">
      <c r="A41" s="671"/>
      <c r="B41" s="672"/>
      <c r="C41" s="672"/>
      <c r="D41" s="672"/>
      <c r="E41" s="672"/>
      <c r="F41" s="672"/>
      <c r="G41" s="672"/>
      <c r="H41" s="672"/>
      <c r="I41" s="672"/>
      <c r="J41" s="672"/>
      <c r="K41" s="672"/>
      <c r="L41" s="672"/>
      <c r="M41" s="672"/>
      <c r="N41" s="672"/>
      <c r="O41" s="712"/>
      <c r="P41" s="713"/>
      <c r="Q41" s="735"/>
      <c r="R41" s="735"/>
      <c r="S41" s="735"/>
      <c r="T41" s="735"/>
      <c r="U41" s="735"/>
      <c r="V41" s="735"/>
      <c r="W41" s="735"/>
      <c r="X41" s="735"/>
      <c r="Y41" s="735"/>
      <c r="Z41" s="735"/>
      <c r="AA41" s="735"/>
      <c r="AB41" s="735"/>
      <c r="AC41" s="735"/>
      <c r="AD41" s="735"/>
      <c r="AE41" s="735"/>
      <c r="AF41" s="735"/>
      <c r="AG41" s="735"/>
      <c r="AH41" s="735"/>
      <c r="AI41" s="735"/>
      <c r="AJ41" s="735"/>
      <c r="AK41" s="735"/>
      <c r="AL41" s="735"/>
      <c r="AM41" s="735"/>
      <c r="AN41" s="735"/>
      <c r="AO41" s="735"/>
      <c r="AP41" s="735"/>
      <c r="AQ41" s="735"/>
      <c r="AR41" s="735"/>
      <c r="AS41" s="735"/>
      <c r="AT41" s="735"/>
      <c r="AU41" s="735"/>
      <c r="AV41" s="735"/>
      <c r="AW41" s="735"/>
      <c r="AX41" s="735"/>
      <c r="AY41" s="735"/>
      <c r="AZ41" s="735"/>
      <c r="BA41" s="735"/>
      <c r="BB41" s="735"/>
      <c r="BC41" s="735"/>
      <c r="BD41" s="735"/>
      <c r="BE41" s="782"/>
      <c r="BF41" s="782"/>
      <c r="BG41" s="783"/>
      <c r="BH41" s="784"/>
    </row>
    <row r="42" ht="17.25" spans="1:60">
      <c r="A42" s="673" t="s">
        <v>1015</v>
      </c>
      <c r="B42" s="674"/>
      <c r="C42" s="674"/>
      <c r="D42" s="674"/>
      <c r="E42" s="674"/>
      <c r="F42" s="674"/>
      <c r="G42" s="674"/>
      <c r="H42" s="674"/>
      <c r="I42" s="674"/>
      <c r="J42" s="674"/>
      <c r="K42" s="674"/>
      <c r="L42" s="674"/>
      <c r="M42" s="674"/>
      <c r="N42" s="674"/>
      <c r="O42" s="674"/>
      <c r="P42" s="674"/>
      <c r="Q42" s="674"/>
      <c r="R42" s="674"/>
      <c r="S42" s="674"/>
      <c r="T42" s="674"/>
      <c r="U42" s="674"/>
      <c r="V42" s="674"/>
      <c r="W42" s="674"/>
      <c r="X42" s="674"/>
      <c r="Y42" s="674"/>
      <c r="Z42" s="674"/>
      <c r="AA42" s="674"/>
      <c r="AB42" s="674"/>
      <c r="AC42" s="674"/>
      <c r="AD42" s="674"/>
      <c r="AE42" s="674"/>
      <c r="AF42" s="674"/>
      <c r="AG42" s="674"/>
      <c r="AH42" s="674"/>
      <c r="AI42" s="674"/>
      <c r="AJ42" s="674"/>
      <c r="AK42" s="674"/>
      <c r="AL42" s="674"/>
      <c r="AM42" s="674"/>
      <c r="AN42" s="674"/>
      <c r="AO42" s="674"/>
      <c r="AP42" s="674"/>
      <c r="AQ42" s="674"/>
      <c r="AR42" s="674"/>
      <c r="AS42" s="674"/>
      <c r="AT42" s="674"/>
      <c r="AU42" s="674"/>
      <c r="AV42" s="674"/>
      <c r="AW42" s="674"/>
      <c r="AX42" s="674"/>
      <c r="AY42" s="674"/>
      <c r="AZ42" s="674"/>
      <c r="BA42" s="674"/>
      <c r="BB42" s="674"/>
      <c r="BC42" s="674"/>
      <c r="BD42" s="674"/>
      <c r="BE42" s="674"/>
      <c r="BF42" s="674"/>
      <c r="BG42" s="674"/>
      <c r="BH42" s="785"/>
    </row>
    <row r="43" ht="20.1" customHeight="1" spans="1:60">
      <c r="A43" s="675" t="s">
        <v>1016</v>
      </c>
      <c r="B43" s="676"/>
      <c r="C43" s="676"/>
      <c r="D43" s="676"/>
      <c r="E43" s="677" t="s">
        <v>430</v>
      </c>
      <c r="F43" s="678"/>
      <c r="G43" s="678"/>
      <c r="H43" s="678"/>
      <c r="I43" s="714"/>
      <c r="J43" s="714"/>
      <c r="K43" s="714"/>
      <c r="L43" s="714"/>
      <c r="M43" s="714"/>
      <c r="N43" s="714"/>
      <c r="O43" s="714"/>
      <c r="P43" s="714"/>
      <c r="Q43" s="714"/>
      <c r="R43" s="714"/>
      <c r="S43" s="714"/>
      <c r="T43" s="714"/>
      <c r="U43" s="714"/>
      <c r="V43" s="714"/>
      <c r="W43" s="714"/>
      <c r="X43" s="714"/>
      <c r="Y43" s="714"/>
      <c r="Z43" s="714"/>
      <c r="AA43" s="714"/>
      <c r="AB43" s="714"/>
      <c r="AC43" s="714"/>
      <c r="AD43" s="714"/>
      <c r="AE43" s="714"/>
      <c r="AF43" s="714"/>
      <c r="AG43" s="714"/>
      <c r="AH43" s="714"/>
      <c r="AI43" s="714"/>
      <c r="AJ43" s="714"/>
      <c r="AK43" s="714"/>
      <c r="AL43" s="714"/>
      <c r="AM43" s="714"/>
      <c r="AN43" s="714"/>
      <c r="AO43" s="714"/>
      <c r="AP43" s="714"/>
      <c r="AQ43" s="714"/>
      <c r="AR43" s="714"/>
      <c r="AS43" s="714"/>
      <c r="AT43" s="714"/>
      <c r="AU43" s="714"/>
      <c r="AV43" s="714"/>
      <c r="AW43" s="714"/>
      <c r="AX43" s="714"/>
      <c r="AY43" s="714"/>
      <c r="AZ43" s="714"/>
      <c r="BA43" s="714"/>
      <c r="BB43" s="714"/>
      <c r="BC43" s="714"/>
      <c r="BD43" s="714"/>
      <c r="BE43" s="678" t="s">
        <v>410</v>
      </c>
      <c r="BF43" s="678"/>
      <c r="BG43" s="678"/>
      <c r="BH43" s="786"/>
    </row>
    <row r="44" ht="56.1" customHeight="1" spans="1:60">
      <c r="A44" s="675"/>
      <c r="B44" s="676"/>
      <c r="C44" s="676"/>
      <c r="D44" s="676"/>
      <c r="E44" s="679"/>
      <c r="F44" s="680"/>
      <c r="G44" s="680"/>
      <c r="H44" s="680"/>
      <c r="I44" s="715"/>
      <c r="J44" s="715"/>
      <c r="K44" s="715"/>
      <c r="L44" s="715"/>
      <c r="M44" s="715"/>
      <c r="N44" s="715"/>
      <c r="O44" s="715"/>
      <c r="P44" s="715"/>
      <c r="Q44" s="715"/>
      <c r="R44" s="715"/>
      <c r="S44" s="715"/>
      <c r="T44" s="715"/>
      <c r="U44" s="715"/>
      <c r="V44" s="715"/>
      <c r="W44" s="715"/>
      <c r="X44" s="715"/>
      <c r="Y44" s="715"/>
      <c r="Z44" s="715"/>
      <c r="AA44" s="715"/>
      <c r="AB44" s="715"/>
      <c r="AC44" s="715"/>
      <c r="AD44" s="715"/>
      <c r="AE44" s="715"/>
      <c r="AF44" s="715"/>
      <c r="AG44" s="715"/>
      <c r="AH44" s="715"/>
      <c r="AI44" s="715"/>
      <c r="AJ44" s="715"/>
      <c r="AK44" s="715"/>
      <c r="AL44" s="715"/>
      <c r="AM44" s="715"/>
      <c r="AN44" s="715"/>
      <c r="AO44" s="715"/>
      <c r="AP44" s="715"/>
      <c r="AQ44" s="715"/>
      <c r="AR44" s="715"/>
      <c r="AS44" s="715"/>
      <c r="AT44" s="715"/>
      <c r="AU44" s="715"/>
      <c r="AV44" s="715"/>
      <c r="AW44" s="715"/>
      <c r="AX44" s="715"/>
      <c r="AY44" s="715"/>
      <c r="AZ44" s="715"/>
      <c r="BA44" s="715"/>
      <c r="BB44" s="715"/>
      <c r="BC44" s="715"/>
      <c r="BD44" s="715"/>
      <c r="BE44" s="680"/>
      <c r="BF44" s="680"/>
      <c r="BG44" s="680"/>
      <c r="BH44" s="787"/>
    </row>
    <row r="45" ht="56.1" customHeight="1" spans="1:60">
      <c r="A45" s="675"/>
      <c r="B45" s="676"/>
      <c r="C45" s="676"/>
      <c r="D45" s="676"/>
      <c r="E45" s="679"/>
      <c r="F45" s="680"/>
      <c r="G45" s="680"/>
      <c r="H45" s="680"/>
      <c r="I45" s="715"/>
      <c r="J45" s="715"/>
      <c r="K45" s="715"/>
      <c r="L45" s="715"/>
      <c r="M45" s="715"/>
      <c r="N45" s="715"/>
      <c r="O45" s="715"/>
      <c r="P45" s="715"/>
      <c r="Q45" s="715"/>
      <c r="R45" s="715"/>
      <c r="S45" s="715"/>
      <c r="T45" s="715"/>
      <c r="U45" s="715"/>
      <c r="V45" s="715"/>
      <c r="W45" s="715"/>
      <c r="X45" s="715"/>
      <c r="Y45" s="715"/>
      <c r="Z45" s="715"/>
      <c r="AA45" s="715"/>
      <c r="AB45" s="715"/>
      <c r="AC45" s="715"/>
      <c r="AD45" s="715"/>
      <c r="AE45" s="715"/>
      <c r="AF45" s="715"/>
      <c r="AG45" s="715"/>
      <c r="AH45" s="715"/>
      <c r="AI45" s="715"/>
      <c r="AJ45" s="715"/>
      <c r="AK45" s="715"/>
      <c r="AL45" s="715"/>
      <c r="AM45" s="715"/>
      <c r="AN45" s="715"/>
      <c r="AO45" s="715"/>
      <c r="AP45" s="715"/>
      <c r="AQ45" s="715"/>
      <c r="AR45" s="715"/>
      <c r="AS45" s="715"/>
      <c r="AT45" s="715"/>
      <c r="AU45" s="715"/>
      <c r="AV45" s="715"/>
      <c r="AW45" s="715"/>
      <c r="AX45" s="715"/>
      <c r="AY45" s="715"/>
      <c r="AZ45" s="715"/>
      <c r="BA45" s="715"/>
      <c r="BB45" s="715"/>
      <c r="BC45" s="715"/>
      <c r="BD45" s="715"/>
      <c r="BE45" s="680"/>
      <c r="BF45" s="680"/>
      <c r="BG45" s="680"/>
      <c r="BH45" s="787"/>
    </row>
    <row r="46" ht="56.1" customHeight="1" spans="1:60">
      <c r="A46" s="675"/>
      <c r="B46" s="676"/>
      <c r="C46" s="676"/>
      <c r="D46" s="676"/>
      <c r="E46" s="679"/>
      <c r="F46" s="680"/>
      <c r="G46" s="680"/>
      <c r="H46" s="680"/>
      <c r="I46" s="715"/>
      <c r="J46" s="715"/>
      <c r="K46" s="715"/>
      <c r="L46" s="715"/>
      <c r="M46" s="715"/>
      <c r="N46" s="715"/>
      <c r="O46" s="715"/>
      <c r="P46" s="715"/>
      <c r="Q46" s="715"/>
      <c r="R46" s="715"/>
      <c r="S46" s="715"/>
      <c r="T46" s="715"/>
      <c r="U46" s="715"/>
      <c r="V46" s="715"/>
      <c r="W46" s="715"/>
      <c r="X46" s="715"/>
      <c r="Y46" s="715"/>
      <c r="Z46" s="715"/>
      <c r="AA46" s="715"/>
      <c r="AB46" s="715"/>
      <c r="AC46" s="715"/>
      <c r="AD46" s="715"/>
      <c r="AE46" s="715"/>
      <c r="AF46" s="715"/>
      <c r="AG46" s="715"/>
      <c r="AH46" s="715"/>
      <c r="AI46" s="715"/>
      <c r="AJ46" s="715"/>
      <c r="AK46" s="715"/>
      <c r="AL46" s="715"/>
      <c r="AM46" s="715"/>
      <c r="AN46" s="715"/>
      <c r="AO46" s="715"/>
      <c r="AP46" s="715"/>
      <c r="AQ46" s="715"/>
      <c r="AR46" s="715"/>
      <c r="AS46" s="715"/>
      <c r="AT46" s="715"/>
      <c r="AU46" s="715"/>
      <c r="AV46" s="715"/>
      <c r="AW46" s="715"/>
      <c r="AX46" s="715"/>
      <c r="AY46" s="715"/>
      <c r="AZ46" s="715"/>
      <c r="BA46" s="715"/>
      <c r="BB46" s="715"/>
      <c r="BC46" s="715"/>
      <c r="BD46" s="715"/>
      <c r="BE46" s="680"/>
      <c r="BF46" s="680"/>
      <c r="BG46" s="680"/>
      <c r="BH46" s="787"/>
    </row>
    <row r="47" ht="56.1" customHeight="1" spans="1:60">
      <c r="A47" s="675"/>
      <c r="B47" s="676"/>
      <c r="C47" s="676"/>
      <c r="D47" s="676"/>
      <c r="E47" s="679"/>
      <c r="F47" s="680"/>
      <c r="G47" s="680"/>
      <c r="H47" s="680"/>
      <c r="I47" s="715"/>
      <c r="J47" s="715"/>
      <c r="K47" s="715"/>
      <c r="L47" s="715"/>
      <c r="M47" s="715"/>
      <c r="N47" s="715"/>
      <c r="O47" s="715"/>
      <c r="P47" s="715"/>
      <c r="Q47" s="715"/>
      <c r="R47" s="715"/>
      <c r="S47" s="715"/>
      <c r="T47" s="715"/>
      <c r="U47" s="715"/>
      <c r="V47" s="715"/>
      <c r="W47" s="715"/>
      <c r="X47" s="715"/>
      <c r="Y47" s="715"/>
      <c r="Z47" s="715"/>
      <c r="AA47" s="715"/>
      <c r="AB47" s="715"/>
      <c r="AC47" s="715"/>
      <c r="AD47" s="715"/>
      <c r="AE47" s="715"/>
      <c r="AF47" s="715"/>
      <c r="AG47" s="715"/>
      <c r="AH47" s="715"/>
      <c r="AI47" s="715"/>
      <c r="AJ47" s="715"/>
      <c r="AK47" s="715"/>
      <c r="AL47" s="715"/>
      <c r="AM47" s="715"/>
      <c r="AN47" s="715"/>
      <c r="AO47" s="715"/>
      <c r="AP47" s="715"/>
      <c r="AQ47" s="715"/>
      <c r="AR47" s="715"/>
      <c r="AS47" s="715"/>
      <c r="AT47" s="715"/>
      <c r="AU47" s="715"/>
      <c r="AV47" s="715"/>
      <c r="AW47" s="715"/>
      <c r="AX47" s="715"/>
      <c r="AY47" s="715"/>
      <c r="AZ47" s="715"/>
      <c r="BA47" s="715"/>
      <c r="BB47" s="715"/>
      <c r="BC47" s="715"/>
      <c r="BD47" s="715"/>
      <c r="BE47" s="680"/>
      <c r="BF47" s="680"/>
      <c r="BG47" s="680"/>
      <c r="BH47" s="787"/>
    </row>
    <row r="48" ht="56.1" customHeight="1" spans="1:60">
      <c r="A48" s="675"/>
      <c r="B48" s="676"/>
      <c r="C48" s="676"/>
      <c r="D48" s="676"/>
      <c r="E48" s="681"/>
      <c r="F48" s="682"/>
      <c r="G48" s="682"/>
      <c r="H48" s="682"/>
      <c r="I48" s="716"/>
      <c r="J48" s="716"/>
      <c r="K48" s="716"/>
      <c r="L48" s="716"/>
      <c r="M48" s="716"/>
      <c r="N48" s="716"/>
      <c r="O48" s="716"/>
      <c r="P48" s="716"/>
      <c r="Q48" s="716"/>
      <c r="R48" s="716"/>
      <c r="S48" s="716"/>
      <c r="T48" s="716"/>
      <c r="U48" s="716"/>
      <c r="V48" s="716"/>
      <c r="W48" s="716"/>
      <c r="X48" s="716"/>
      <c r="Y48" s="716"/>
      <c r="Z48" s="716"/>
      <c r="AA48" s="716"/>
      <c r="AB48" s="716"/>
      <c r="AC48" s="716"/>
      <c r="AD48" s="716"/>
      <c r="AE48" s="716"/>
      <c r="AF48" s="716"/>
      <c r="AG48" s="716"/>
      <c r="AH48" s="716"/>
      <c r="AI48" s="716"/>
      <c r="AJ48" s="716"/>
      <c r="AK48" s="716"/>
      <c r="AL48" s="716"/>
      <c r="AM48" s="716"/>
      <c r="AN48" s="716"/>
      <c r="AO48" s="716"/>
      <c r="AP48" s="716"/>
      <c r="AQ48" s="716"/>
      <c r="AR48" s="716"/>
      <c r="AS48" s="716"/>
      <c r="AT48" s="716"/>
      <c r="AU48" s="716"/>
      <c r="AV48" s="716"/>
      <c r="AW48" s="716"/>
      <c r="AX48" s="716"/>
      <c r="AY48" s="716"/>
      <c r="AZ48" s="716"/>
      <c r="BA48" s="716"/>
      <c r="BB48" s="716"/>
      <c r="BC48" s="716"/>
      <c r="BD48" s="716"/>
      <c r="BE48" s="682"/>
      <c r="BF48" s="682"/>
      <c r="BG48" s="682"/>
      <c r="BH48" s="788"/>
    </row>
    <row r="49" spans="1:60">
      <c r="A49" s="901" t="s">
        <v>1017</v>
      </c>
      <c r="B49" s="901"/>
      <c r="C49" s="901"/>
      <c r="D49" s="901"/>
      <c r="E49" s="686" t="s">
        <v>1018</v>
      </c>
      <c r="F49" s="686"/>
      <c r="G49" s="686"/>
      <c r="H49" s="686"/>
      <c r="I49" s="686"/>
      <c r="J49" s="686"/>
      <c r="K49" s="686"/>
      <c r="L49" s="686"/>
      <c r="M49" s="686"/>
      <c r="N49" s="686"/>
      <c r="O49" s="686"/>
      <c r="P49" s="717"/>
      <c r="Q49" s="717"/>
      <c r="R49" s="717"/>
      <c r="S49" s="717"/>
      <c r="T49" s="717"/>
      <c r="U49" s="736" t="s">
        <v>1019</v>
      </c>
      <c r="V49" s="736"/>
      <c r="W49" s="736"/>
      <c r="X49" s="736"/>
      <c r="Y49" s="736"/>
      <c r="Z49" s="705"/>
      <c r="AA49" s="705"/>
      <c r="AB49" s="705"/>
      <c r="AC49" s="705"/>
      <c r="AD49" s="705"/>
      <c r="AE49" s="705"/>
      <c r="AF49" s="705"/>
      <c r="AG49" s="705"/>
      <c r="AH49" s="705"/>
      <c r="AI49" s="705"/>
      <c r="AJ49" s="705"/>
      <c r="AK49" s="705"/>
      <c r="AL49" s="705"/>
      <c r="AM49" s="705"/>
      <c r="AN49" s="705"/>
      <c r="AO49" s="705"/>
      <c r="AP49" s="705"/>
      <c r="AQ49" s="705"/>
      <c r="AR49" s="705"/>
      <c r="AS49" s="705"/>
      <c r="AT49" s="705"/>
      <c r="AU49" s="705"/>
      <c r="AV49" s="705"/>
      <c r="AW49" s="705"/>
      <c r="AX49" s="705"/>
      <c r="AY49" s="705"/>
      <c r="AZ49" s="705"/>
      <c r="BA49" s="705"/>
      <c r="BB49" s="705"/>
      <c r="BC49" s="705"/>
      <c r="BD49" s="705"/>
      <c r="BE49" s="705"/>
      <c r="BF49" s="705"/>
      <c r="BG49" s="705"/>
      <c r="BH49" s="789"/>
    </row>
    <row r="50" ht="15.95" customHeight="1" spans="1:60">
      <c r="A50" s="901"/>
      <c r="B50" s="901"/>
      <c r="C50" s="901"/>
      <c r="D50" s="901"/>
      <c r="E50" s="662" t="s">
        <v>1020</v>
      </c>
      <c r="F50" s="662"/>
      <c r="G50" s="662" t="s">
        <v>1021</v>
      </c>
      <c r="H50" s="662"/>
      <c r="I50" s="662"/>
      <c r="J50" s="662"/>
      <c r="K50" s="662"/>
      <c r="L50" s="662"/>
      <c r="M50" s="662"/>
      <c r="N50" s="662"/>
      <c r="O50" s="662"/>
      <c r="P50" s="662"/>
      <c r="Q50" s="662"/>
      <c r="R50" s="662"/>
      <c r="S50" s="662" t="s">
        <v>1022</v>
      </c>
      <c r="T50" s="662"/>
      <c r="U50" s="662"/>
      <c r="V50" s="662" t="s">
        <v>1023</v>
      </c>
      <c r="W50" s="662"/>
      <c r="X50" s="662"/>
      <c r="Y50" s="662" t="s">
        <v>1024</v>
      </c>
      <c r="Z50" s="662"/>
      <c r="AA50" s="662"/>
      <c r="AB50" s="662"/>
      <c r="AC50" s="662" t="s">
        <v>755</v>
      </c>
      <c r="AD50" s="662"/>
      <c r="AE50" s="662"/>
      <c r="AF50" s="662"/>
      <c r="AG50" s="662" t="s">
        <v>1020</v>
      </c>
      <c r="AH50" s="662"/>
      <c r="AI50" s="662" t="s">
        <v>1021</v>
      </c>
      <c r="AJ50" s="662"/>
      <c r="AK50" s="662"/>
      <c r="AL50" s="662"/>
      <c r="AM50" s="662"/>
      <c r="AN50" s="662"/>
      <c r="AO50" s="662"/>
      <c r="AP50" s="662"/>
      <c r="AQ50" s="662"/>
      <c r="AR50" s="662"/>
      <c r="AS50" s="662"/>
      <c r="AT50" s="662"/>
      <c r="AU50" s="662" t="s">
        <v>1022</v>
      </c>
      <c r="AV50" s="662"/>
      <c r="AW50" s="662"/>
      <c r="AX50" s="662" t="s">
        <v>1023</v>
      </c>
      <c r="AY50" s="662"/>
      <c r="AZ50" s="662"/>
      <c r="BA50" s="662" t="s">
        <v>1024</v>
      </c>
      <c r="BB50" s="662"/>
      <c r="BC50" s="662"/>
      <c r="BD50" s="662"/>
      <c r="BE50" s="687" t="s">
        <v>755</v>
      </c>
      <c r="BF50" s="670"/>
      <c r="BG50" s="670"/>
      <c r="BH50" s="790"/>
    </row>
    <row r="51" customHeight="1" spans="1:60">
      <c r="A51" s="901"/>
      <c r="B51" s="901"/>
      <c r="C51" s="901"/>
      <c r="D51" s="901"/>
      <c r="E51" s="662"/>
      <c r="F51" s="662"/>
      <c r="G51" s="662" t="s">
        <v>1025</v>
      </c>
      <c r="H51" s="662"/>
      <c r="I51" s="662"/>
      <c r="J51" s="662"/>
      <c r="K51" s="662"/>
      <c r="L51" s="662"/>
      <c r="M51" s="662"/>
      <c r="N51" s="662"/>
      <c r="O51" s="662"/>
      <c r="P51" s="662"/>
      <c r="Q51" s="662"/>
      <c r="R51" s="662"/>
      <c r="S51" s="662"/>
      <c r="T51" s="662"/>
      <c r="U51" s="662"/>
      <c r="V51" s="732" t="s">
        <v>896</v>
      </c>
      <c r="W51" s="732"/>
      <c r="X51" s="732"/>
      <c r="Y51" s="732" t="s">
        <v>1026</v>
      </c>
      <c r="Z51" s="732"/>
      <c r="AA51" s="732"/>
      <c r="AB51" s="732"/>
      <c r="AC51" s="732" t="s">
        <v>1027</v>
      </c>
      <c r="AD51" s="732"/>
      <c r="AE51" s="732"/>
      <c r="AF51" s="732"/>
      <c r="AG51" s="662"/>
      <c r="AH51" s="662"/>
      <c r="AI51" s="662" t="s">
        <v>1025</v>
      </c>
      <c r="AJ51" s="662"/>
      <c r="AK51" s="662"/>
      <c r="AL51" s="662"/>
      <c r="AM51" s="662"/>
      <c r="AN51" s="662"/>
      <c r="AO51" s="662"/>
      <c r="AP51" s="662"/>
      <c r="AQ51" s="662"/>
      <c r="AR51" s="662"/>
      <c r="AS51" s="662"/>
      <c r="AT51" s="662"/>
      <c r="AU51" s="662"/>
      <c r="AV51" s="662"/>
      <c r="AW51" s="662"/>
      <c r="AX51" s="732" t="s">
        <v>896</v>
      </c>
      <c r="AY51" s="732"/>
      <c r="AZ51" s="732"/>
      <c r="BA51" s="732" t="s">
        <v>1026</v>
      </c>
      <c r="BB51" s="732"/>
      <c r="BC51" s="732"/>
      <c r="BD51" s="732"/>
      <c r="BE51" s="791" t="s">
        <v>1028</v>
      </c>
      <c r="BF51" s="792"/>
      <c r="BG51" s="792"/>
      <c r="BH51" s="793"/>
    </row>
    <row r="52" ht="15.95" customHeight="1" spans="1:60">
      <c r="A52" s="901" t="s">
        <v>1029</v>
      </c>
      <c r="B52" s="901"/>
      <c r="C52" s="901"/>
      <c r="D52" s="901"/>
      <c r="E52" s="687" t="s">
        <v>1030</v>
      </c>
      <c r="F52" s="688"/>
      <c r="G52" s="687"/>
      <c r="H52" s="670"/>
      <c r="I52" s="670"/>
      <c r="J52" s="670"/>
      <c r="K52" s="670"/>
      <c r="L52" s="670"/>
      <c r="M52" s="670"/>
      <c r="N52" s="670"/>
      <c r="O52" s="670"/>
      <c r="P52" s="670"/>
      <c r="Q52" s="670"/>
      <c r="R52" s="688"/>
      <c r="S52" s="662" t="s">
        <v>1031</v>
      </c>
      <c r="T52" s="662"/>
      <c r="U52" s="662"/>
      <c r="V52" s="670"/>
      <c r="W52" s="670"/>
      <c r="X52" s="688"/>
      <c r="Y52" s="687"/>
      <c r="Z52" s="670"/>
      <c r="AA52" s="670"/>
      <c r="AB52" s="688"/>
      <c r="AC52" s="687"/>
      <c r="AD52" s="670"/>
      <c r="AE52" s="670"/>
      <c r="AF52" s="688"/>
      <c r="AG52" s="687" t="s">
        <v>1032</v>
      </c>
      <c r="AH52" s="688"/>
      <c r="AI52" s="687"/>
      <c r="AJ52" s="670"/>
      <c r="AK52" s="670"/>
      <c r="AL52" s="670"/>
      <c r="AM52" s="670"/>
      <c r="AN52" s="670"/>
      <c r="AO52" s="670"/>
      <c r="AP52" s="670"/>
      <c r="AQ52" s="670"/>
      <c r="AR52" s="670"/>
      <c r="AS52" s="670"/>
      <c r="AT52" s="688"/>
      <c r="AU52" s="662" t="s">
        <v>1031</v>
      </c>
      <c r="AV52" s="662"/>
      <c r="AW52" s="662"/>
      <c r="AX52" s="670"/>
      <c r="AY52" s="670"/>
      <c r="AZ52" s="688"/>
      <c r="BA52" s="687"/>
      <c r="BB52" s="670"/>
      <c r="BC52" s="670"/>
      <c r="BD52" s="688"/>
      <c r="BE52" s="687"/>
      <c r="BF52" s="670"/>
      <c r="BG52" s="670"/>
      <c r="BH52" s="790"/>
    </row>
    <row r="53" ht="15.95" customHeight="1" spans="1:60">
      <c r="A53" s="901"/>
      <c r="B53" s="901"/>
      <c r="C53" s="901"/>
      <c r="D53" s="901"/>
      <c r="E53" s="687" t="s">
        <v>1033</v>
      </c>
      <c r="F53" s="688"/>
      <c r="G53" s="687"/>
      <c r="H53" s="670"/>
      <c r="I53" s="670"/>
      <c r="J53" s="670"/>
      <c r="K53" s="670"/>
      <c r="L53" s="670"/>
      <c r="M53" s="670"/>
      <c r="N53" s="670"/>
      <c r="O53" s="670"/>
      <c r="P53" s="670"/>
      <c r="Q53" s="670"/>
      <c r="R53" s="688"/>
      <c r="S53" s="662" t="s">
        <v>1031</v>
      </c>
      <c r="T53" s="662"/>
      <c r="U53" s="662"/>
      <c r="V53" s="670"/>
      <c r="W53" s="670"/>
      <c r="X53" s="688"/>
      <c r="Y53" s="687"/>
      <c r="Z53" s="670"/>
      <c r="AA53" s="670"/>
      <c r="AB53" s="688"/>
      <c r="AC53" s="687"/>
      <c r="AD53" s="670"/>
      <c r="AE53" s="670"/>
      <c r="AF53" s="688"/>
      <c r="AG53" s="687" t="s">
        <v>1034</v>
      </c>
      <c r="AH53" s="688"/>
      <c r="AI53" s="687"/>
      <c r="AJ53" s="670"/>
      <c r="AK53" s="670"/>
      <c r="AL53" s="670"/>
      <c r="AM53" s="670"/>
      <c r="AN53" s="670"/>
      <c r="AO53" s="670"/>
      <c r="AP53" s="670"/>
      <c r="AQ53" s="670"/>
      <c r="AR53" s="670"/>
      <c r="AS53" s="670"/>
      <c r="AT53" s="688"/>
      <c r="AU53" s="662" t="s">
        <v>1031</v>
      </c>
      <c r="AV53" s="662"/>
      <c r="AW53" s="662"/>
      <c r="AX53" s="670"/>
      <c r="AY53" s="670"/>
      <c r="AZ53" s="688"/>
      <c r="BA53" s="687"/>
      <c r="BB53" s="670"/>
      <c r="BC53" s="670"/>
      <c r="BD53" s="688"/>
      <c r="BE53" s="687"/>
      <c r="BF53" s="670"/>
      <c r="BG53" s="670"/>
      <c r="BH53" s="790"/>
    </row>
    <row r="54" ht="15.95" customHeight="1" spans="1:60">
      <c r="A54" s="901"/>
      <c r="B54" s="901"/>
      <c r="C54" s="901"/>
      <c r="D54" s="901"/>
      <c r="E54" s="687" t="s">
        <v>1035</v>
      </c>
      <c r="F54" s="688"/>
      <c r="G54" s="687"/>
      <c r="H54" s="670"/>
      <c r="I54" s="670"/>
      <c r="J54" s="670"/>
      <c r="K54" s="670"/>
      <c r="L54" s="670"/>
      <c r="M54" s="670"/>
      <c r="N54" s="670"/>
      <c r="O54" s="670"/>
      <c r="P54" s="670"/>
      <c r="Q54" s="670"/>
      <c r="R54" s="688"/>
      <c r="S54" s="662" t="s">
        <v>1031</v>
      </c>
      <c r="T54" s="662"/>
      <c r="U54" s="662"/>
      <c r="V54" s="670"/>
      <c r="W54" s="670"/>
      <c r="X54" s="688"/>
      <c r="Y54" s="687"/>
      <c r="Z54" s="670"/>
      <c r="AA54" s="670"/>
      <c r="AB54" s="688"/>
      <c r="AC54" s="687"/>
      <c r="AD54" s="670"/>
      <c r="AE54" s="670"/>
      <c r="AF54" s="688"/>
      <c r="AG54" s="687" t="s">
        <v>1036</v>
      </c>
      <c r="AH54" s="688"/>
      <c r="AI54" s="687"/>
      <c r="AJ54" s="670"/>
      <c r="AK54" s="670"/>
      <c r="AL54" s="670"/>
      <c r="AM54" s="670"/>
      <c r="AN54" s="670"/>
      <c r="AO54" s="670"/>
      <c r="AP54" s="670"/>
      <c r="AQ54" s="670"/>
      <c r="AR54" s="670"/>
      <c r="AS54" s="670"/>
      <c r="AT54" s="688"/>
      <c r="AU54" s="662" t="s">
        <v>1031</v>
      </c>
      <c r="AV54" s="662"/>
      <c r="AW54" s="662"/>
      <c r="AX54" s="670"/>
      <c r="AY54" s="670"/>
      <c r="AZ54" s="688"/>
      <c r="BA54" s="687"/>
      <c r="BB54" s="670"/>
      <c r="BC54" s="670"/>
      <c r="BD54" s="688"/>
      <c r="BE54" s="687"/>
      <c r="BF54" s="670"/>
      <c r="BG54" s="670"/>
      <c r="BH54" s="790"/>
    </row>
    <row r="55" ht="15.95" customHeight="1" spans="1:60">
      <c r="A55" s="901" t="s">
        <v>1037</v>
      </c>
      <c r="B55" s="901"/>
      <c r="C55" s="901"/>
      <c r="D55" s="901"/>
      <c r="E55" s="687" t="s">
        <v>1030</v>
      </c>
      <c r="F55" s="688"/>
      <c r="G55" s="687"/>
      <c r="H55" s="670"/>
      <c r="I55" s="670"/>
      <c r="J55" s="670"/>
      <c r="K55" s="670"/>
      <c r="L55" s="670"/>
      <c r="M55" s="670"/>
      <c r="N55" s="670"/>
      <c r="O55" s="670"/>
      <c r="P55" s="670"/>
      <c r="Q55" s="670"/>
      <c r="R55" s="688"/>
      <c r="S55" s="662" t="s">
        <v>1031</v>
      </c>
      <c r="T55" s="662"/>
      <c r="U55" s="662"/>
      <c r="V55" s="670"/>
      <c r="W55" s="670"/>
      <c r="X55" s="688"/>
      <c r="Y55" s="687"/>
      <c r="Z55" s="670"/>
      <c r="AA55" s="670"/>
      <c r="AB55" s="688"/>
      <c r="AC55" s="687"/>
      <c r="AD55" s="670"/>
      <c r="AE55" s="670"/>
      <c r="AF55" s="688"/>
      <c r="AG55" s="687" t="s">
        <v>1032</v>
      </c>
      <c r="AH55" s="688"/>
      <c r="AI55" s="687"/>
      <c r="AJ55" s="670"/>
      <c r="AK55" s="670"/>
      <c r="AL55" s="670"/>
      <c r="AM55" s="670"/>
      <c r="AN55" s="670"/>
      <c r="AO55" s="670"/>
      <c r="AP55" s="670"/>
      <c r="AQ55" s="670"/>
      <c r="AR55" s="670"/>
      <c r="AS55" s="670"/>
      <c r="AT55" s="688"/>
      <c r="AU55" s="662" t="s">
        <v>1031</v>
      </c>
      <c r="AV55" s="662"/>
      <c r="AW55" s="662"/>
      <c r="AX55" s="670"/>
      <c r="AY55" s="670"/>
      <c r="AZ55" s="688"/>
      <c r="BA55" s="687"/>
      <c r="BB55" s="670"/>
      <c r="BC55" s="670"/>
      <c r="BD55" s="688"/>
      <c r="BE55" s="687"/>
      <c r="BF55" s="670"/>
      <c r="BG55" s="670"/>
      <c r="BH55" s="790"/>
    </row>
    <row r="56" ht="15.95" customHeight="1" spans="1:60">
      <c r="A56" s="901"/>
      <c r="B56" s="901"/>
      <c r="C56" s="901"/>
      <c r="D56" s="901"/>
      <c r="E56" s="687" t="s">
        <v>1033</v>
      </c>
      <c r="F56" s="688"/>
      <c r="G56" s="687"/>
      <c r="H56" s="670"/>
      <c r="I56" s="670"/>
      <c r="J56" s="670"/>
      <c r="K56" s="670"/>
      <c r="L56" s="670"/>
      <c r="M56" s="670"/>
      <c r="N56" s="670"/>
      <c r="O56" s="670"/>
      <c r="P56" s="670"/>
      <c r="Q56" s="670"/>
      <c r="R56" s="688"/>
      <c r="S56" s="662" t="s">
        <v>1031</v>
      </c>
      <c r="T56" s="662"/>
      <c r="U56" s="662"/>
      <c r="V56" s="670"/>
      <c r="W56" s="670"/>
      <c r="X56" s="688"/>
      <c r="Y56" s="687"/>
      <c r="Z56" s="670"/>
      <c r="AA56" s="670"/>
      <c r="AB56" s="688"/>
      <c r="AC56" s="687"/>
      <c r="AD56" s="670"/>
      <c r="AE56" s="670"/>
      <c r="AF56" s="688"/>
      <c r="AG56" s="687" t="s">
        <v>1034</v>
      </c>
      <c r="AH56" s="688"/>
      <c r="AI56" s="687"/>
      <c r="AJ56" s="670"/>
      <c r="AK56" s="670"/>
      <c r="AL56" s="670"/>
      <c r="AM56" s="670"/>
      <c r="AN56" s="670"/>
      <c r="AO56" s="670"/>
      <c r="AP56" s="670"/>
      <c r="AQ56" s="670"/>
      <c r="AR56" s="670"/>
      <c r="AS56" s="670"/>
      <c r="AT56" s="688"/>
      <c r="AU56" s="662" t="s">
        <v>1031</v>
      </c>
      <c r="AV56" s="662"/>
      <c r="AW56" s="662"/>
      <c r="AX56" s="670"/>
      <c r="AY56" s="670"/>
      <c r="AZ56" s="688"/>
      <c r="BA56" s="687"/>
      <c r="BB56" s="670"/>
      <c r="BC56" s="670"/>
      <c r="BD56" s="688"/>
      <c r="BE56" s="687"/>
      <c r="BF56" s="670"/>
      <c r="BG56" s="670"/>
      <c r="BH56" s="790"/>
    </row>
    <row r="57" ht="15.95" customHeight="1" spans="1:60">
      <c r="A57" s="901"/>
      <c r="B57" s="901"/>
      <c r="C57" s="901"/>
      <c r="D57" s="901"/>
      <c r="E57" s="687" t="s">
        <v>1035</v>
      </c>
      <c r="F57" s="688"/>
      <c r="G57" s="687"/>
      <c r="H57" s="670"/>
      <c r="I57" s="670"/>
      <c r="J57" s="670"/>
      <c r="K57" s="670"/>
      <c r="L57" s="670"/>
      <c r="M57" s="670"/>
      <c r="N57" s="670"/>
      <c r="O57" s="670"/>
      <c r="P57" s="670"/>
      <c r="Q57" s="670"/>
      <c r="R57" s="688"/>
      <c r="S57" s="662" t="s">
        <v>1031</v>
      </c>
      <c r="T57" s="662"/>
      <c r="U57" s="662"/>
      <c r="V57" s="670"/>
      <c r="W57" s="670"/>
      <c r="X57" s="688"/>
      <c r="Y57" s="687"/>
      <c r="Z57" s="670"/>
      <c r="AA57" s="670"/>
      <c r="AB57" s="688"/>
      <c r="AC57" s="687"/>
      <c r="AD57" s="670"/>
      <c r="AE57" s="670"/>
      <c r="AF57" s="688"/>
      <c r="AG57" s="687" t="s">
        <v>1036</v>
      </c>
      <c r="AH57" s="688"/>
      <c r="AI57" s="687"/>
      <c r="AJ57" s="670"/>
      <c r="AK57" s="670"/>
      <c r="AL57" s="670"/>
      <c r="AM57" s="670"/>
      <c r="AN57" s="670"/>
      <c r="AO57" s="670"/>
      <c r="AP57" s="670"/>
      <c r="AQ57" s="670"/>
      <c r="AR57" s="670"/>
      <c r="AS57" s="670"/>
      <c r="AT57" s="688"/>
      <c r="AU57" s="662" t="s">
        <v>1031</v>
      </c>
      <c r="AV57" s="662"/>
      <c r="AW57" s="662"/>
      <c r="AX57" s="670"/>
      <c r="AY57" s="670"/>
      <c r="AZ57" s="688"/>
      <c r="BA57" s="687"/>
      <c r="BB57" s="670"/>
      <c r="BC57" s="670"/>
      <c r="BD57" s="688"/>
      <c r="BE57" s="687"/>
      <c r="BF57" s="670"/>
      <c r="BG57" s="670"/>
      <c r="BH57" s="790"/>
    </row>
    <row r="58" ht="24" customHeight="1" spans="1:60">
      <c r="A58" s="653" t="str">
        <f>IF(目录!G2="中文",对照!Z77,IF(目录!G2="English",对照!AA77,对照!Z77))</f>
        <v>设定项目</v>
      </c>
      <c r="B58" s="654"/>
      <c r="C58" s="654"/>
      <c r="D58" s="654"/>
      <c r="E58" s="654"/>
      <c r="F58" s="654"/>
      <c r="G58" s="654"/>
      <c r="H58" s="654"/>
      <c r="I58" s="654"/>
      <c r="J58" s="654"/>
      <c r="K58" s="654"/>
      <c r="L58" s="654"/>
      <c r="M58" s="654"/>
      <c r="N58" s="654"/>
      <c r="O58" s="654"/>
      <c r="P58" s="654"/>
      <c r="Q58" s="654"/>
      <c r="R58" s="654"/>
      <c r="S58" s="654"/>
      <c r="T58" s="654"/>
      <c r="U58" s="654"/>
      <c r="V58" s="654"/>
      <c r="W58" s="654"/>
      <c r="X58" s="654"/>
      <c r="Y58" s="654"/>
      <c r="Z58" s="654"/>
      <c r="AA58" s="654"/>
      <c r="AB58" s="654"/>
      <c r="AC58" s="654"/>
      <c r="AD58" s="654"/>
      <c r="AE58" s="654"/>
      <c r="AF58" s="654"/>
      <c r="AG58" s="693"/>
      <c r="AH58" s="693"/>
      <c r="AI58" s="693"/>
      <c r="AJ58" s="693"/>
      <c r="AK58" s="693"/>
      <c r="AL58" s="693"/>
      <c r="AM58" s="693"/>
      <c r="AN58" s="693"/>
      <c r="AO58" s="693"/>
      <c r="AP58" s="693"/>
      <c r="AQ58" s="693"/>
      <c r="AR58" s="693"/>
      <c r="AS58" s="693"/>
      <c r="AT58" s="693"/>
      <c r="AU58" s="693"/>
      <c r="AV58" s="693"/>
      <c r="AW58" s="693"/>
      <c r="AX58" s="693"/>
      <c r="AY58" s="693"/>
      <c r="AZ58" s="693"/>
      <c r="BA58" s="693"/>
      <c r="BB58" s="693"/>
      <c r="BC58" s="693"/>
      <c r="BD58" s="693"/>
      <c r="BE58" s="693"/>
      <c r="BF58" s="693"/>
      <c r="BG58" s="693"/>
      <c r="BH58" s="794"/>
    </row>
    <row r="59" ht="15.95" customHeight="1" spans="1:60">
      <c r="A59" s="694" t="str">
        <f>IF(目录!G2="中文",对照!Z78,IF(目录!G2="English",对照!AA78,对照!Z78))</f>
        <v>射胶</v>
      </c>
      <c r="B59" s="695"/>
      <c r="C59" s="695"/>
      <c r="D59" s="695"/>
      <c r="E59" s="695"/>
      <c r="F59" s="695"/>
      <c r="G59" s="695"/>
      <c r="H59" s="695"/>
      <c r="I59" s="695"/>
      <c r="J59" s="695"/>
      <c r="K59" s="695"/>
      <c r="L59" s="695"/>
      <c r="M59" s="695"/>
      <c r="N59" s="695"/>
      <c r="O59" s="695"/>
      <c r="P59" s="695"/>
      <c r="Q59" s="695"/>
      <c r="R59" s="695"/>
      <c r="S59" s="695"/>
      <c r="T59" s="695"/>
      <c r="U59" s="695"/>
      <c r="V59" s="695"/>
      <c r="W59" s="695"/>
      <c r="X59" s="695"/>
      <c r="Y59" s="695"/>
      <c r="Z59" s="695"/>
      <c r="AA59" s="695"/>
      <c r="AB59" s="695"/>
      <c r="AC59" s="695"/>
      <c r="AD59" s="695"/>
      <c r="AE59" s="695"/>
      <c r="AF59" s="747"/>
      <c r="AG59" s="753" t="s">
        <v>1038</v>
      </c>
      <c r="AH59" s="753"/>
      <c r="AI59" s="753"/>
      <c r="AJ59" s="753"/>
      <c r="AK59" s="753"/>
      <c r="AL59" s="753"/>
      <c r="AM59" s="753"/>
      <c r="AN59" s="753"/>
      <c r="AO59" s="753"/>
      <c r="AP59" s="753"/>
      <c r="AQ59" s="753"/>
      <c r="AR59" s="753"/>
      <c r="AS59" s="753"/>
      <c r="AT59" s="753"/>
      <c r="AU59" s="753"/>
      <c r="AV59" s="753"/>
      <c r="AW59" s="753"/>
      <c r="AX59" s="753"/>
      <c r="AY59" s="753"/>
      <c r="AZ59" s="753"/>
      <c r="BA59" s="753"/>
      <c r="BB59" s="753"/>
      <c r="BC59" s="753"/>
      <c r="BD59" s="753"/>
      <c r="BE59" s="753"/>
      <c r="BF59" s="753"/>
      <c r="BG59" s="753"/>
      <c r="BH59" s="795"/>
    </row>
    <row r="60" ht="15.95" customHeight="1" spans="1:60">
      <c r="A60" s="661"/>
      <c r="B60" s="662"/>
      <c r="C60" s="662"/>
      <c r="D60" s="662"/>
      <c r="E60" s="658" t="str">
        <f>IF(目录!G2="中文",对照!Z28,IF(目录!G2="English",对照!AA28,对照!Z28))</f>
        <v>单位</v>
      </c>
      <c r="F60" s="658"/>
      <c r="G60" s="658"/>
      <c r="H60" s="658"/>
      <c r="I60" s="658">
        <v>1</v>
      </c>
      <c r="J60" s="658"/>
      <c r="K60" s="658"/>
      <c r="L60" s="658"/>
      <c r="M60" s="658">
        <v>2</v>
      </c>
      <c r="N60" s="658"/>
      <c r="O60" s="658"/>
      <c r="P60" s="658"/>
      <c r="Q60" s="658">
        <v>3</v>
      </c>
      <c r="R60" s="658"/>
      <c r="S60" s="658"/>
      <c r="T60" s="658"/>
      <c r="U60" s="658">
        <v>4</v>
      </c>
      <c r="V60" s="658"/>
      <c r="W60" s="658"/>
      <c r="X60" s="658"/>
      <c r="Y60" s="723">
        <v>5</v>
      </c>
      <c r="Z60" s="724"/>
      <c r="AA60" s="724"/>
      <c r="AB60" s="740"/>
      <c r="AC60" s="723">
        <v>6</v>
      </c>
      <c r="AD60" s="724"/>
      <c r="AE60" s="724"/>
      <c r="AF60" s="740"/>
      <c r="AG60" s="753"/>
      <c r="AH60" s="753"/>
      <c r="AI60" s="753"/>
      <c r="AJ60" s="753"/>
      <c r="AK60" s="753"/>
      <c r="AL60" s="753"/>
      <c r="AM60" s="754" t="s">
        <v>565</v>
      </c>
      <c r="AN60" s="754"/>
      <c r="AO60" s="754"/>
      <c r="AP60" s="754"/>
      <c r="AQ60" s="754"/>
      <c r="AR60" s="754"/>
      <c r="AS60" s="754">
        <v>1</v>
      </c>
      <c r="AT60" s="754"/>
      <c r="AU60" s="754"/>
      <c r="AV60" s="754"/>
      <c r="AW60" s="754">
        <v>2</v>
      </c>
      <c r="AX60" s="754"/>
      <c r="AY60" s="754"/>
      <c r="AZ60" s="754"/>
      <c r="BA60" s="754">
        <v>3</v>
      </c>
      <c r="BB60" s="754"/>
      <c r="BC60" s="754"/>
      <c r="BD60" s="754"/>
      <c r="BE60" s="754">
        <v>4</v>
      </c>
      <c r="BF60" s="754"/>
      <c r="BG60" s="754"/>
      <c r="BH60" s="796"/>
    </row>
    <row r="61" ht="15.95" customHeight="1" spans="1:60">
      <c r="A61" s="657" t="str">
        <f>IF(目录!G2="中文",对照!Z80,IF(目录!G2="English",对照!AA80,对照!Z80))</f>
        <v>压力</v>
      </c>
      <c r="B61" s="658"/>
      <c r="C61" s="658"/>
      <c r="D61" s="658"/>
      <c r="E61" s="696" t="s">
        <v>903</v>
      </c>
      <c r="F61" s="696"/>
      <c r="G61" s="696"/>
      <c r="H61" s="696"/>
      <c r="I61" s="662" t="s">
        <v>1039</v>
      </c>
      <c r="J61" s="662"/>
      <c r="K61" s="662"/>
      <c r="L61" s="662"/>
      <c r="M61" s="662" t="s">
        <v>1040</v>
      </c>
      <c r="N61" s="662"/>
      <c r="O61" s="662"/>
      <c r="P61" s="662"/>
      <c r="Q61" s="662" t="s">
        <v>1041</v>
      </c>
      <c r="R61" s="662"/>
      <c r="S61" s="662"/>
      <c r="T61" s="662"/>
      <c r="U61" s="662" t="s">
        <v>1042</v>
      </c>
      <c r="V61" s="662"/>
      <c r="W61" s="662"/>
      <c r="X61" s="662"/>
      <c r="Y61" s="662" t="s">
        <v>1043</v>
      </c>
      <c r="Z61" s="662"/>
      <c r="AA61" s="662"/>
      <c r="AB61" s="662"/>
      <c r="AC61" s="662" t="s">
        <v>1044</v>
      </c>
      <c r="AD61" s="662"/>
      <c r="AE61" s="662"/>
      <c r="AF61" s="662"/>
      <c r="AG61" s="754" t="s">
        <v>755</v>
      </c>
      <c r="AH61" s="754"/>
      <c r="AI61" s="754"/>
      <c r="AJ61" s="754"/>
      <c r="AK61" s="754"/>
      <c r="AL61" s="754"/>
      <c r="AM61" s="755" t="s">
        <v>903</v>
      </c>
      <c r="AN61" s="755"/>
      <c r="AO61" s="755"/>
      <c r="AP61" s="755"/>
      <c r="AQ61" s="755"/>
      <c r="AR61" s="755"/>
      <c r="AS61" s="753" t="s">
        <v>1045</v>
      </c>
      <c r="AT61" s="753"/>
      <c r="AU61" s="753"/>
      <c r="AV61" s="753"/>
      <c r="AW61" s="753" t="s">
        <v>1046</v>
      </c>
      <c r="AX61" s="753"/>
      <c r="AY61" s="753"/>
      <c r="AZ61" s="753"/>
      <c r="BA61" s="753" t="s">
        <v>1047</v>
      </c>
      <c r="BB61" s="753"/>
      <c r="BC61" s="753"/>
      <c r="BD61" s="753"/>
      <c r="BE61" s="753" t="s">
        <v>1048</v>
      </c>
      <c r="BF61" s="753"/>
      <c r="BG61" s="753"/>
      <c r="BH61" s="795"/>
    </row>
    <row r="62" ht="15.95" customHeight="1" spans="1:60">
      <c r="A62" s="657" t="str">
        <f>IF(目录!G2="中文",对照!Z81,IF(目录!G2="English",对照!AA81,对照!Z81))</f>
        <v>速度</v>
      </c>
      <c r="B62" s="658"/>
      <c r="C62" s="658"/>
      <c r="D62" s="658"/>
      <c r="E62" s="696" t="s">
        <v>905</v>
      </c>
      <c r="F62" s="696"/>
      <c r="G62" s="696"/>
      <c r="H62" s="696"/>
      <c r="I62" s="662" t="s">
        <v>1049</v>
      </c>
      <c r="J62" s="662"/>
      <c r="K62" s="662"/>
      <c r="L62" s="662"/>
      <c r="M62" s="662" t="s">
        <v>1050</v>
      </c>
      <c r="N62" s="662"/>
      <c r="O62" s="662"/>
      <c r="P62" s="662"/>
      <c r="Q62" s="662" t="s">
        <v>1051</v>
      </c>
      <c r="R62" s="662"/>
      <c r="S62" s="662"/>
      <c r="T62" s="662"/>
      <c r="U62" s="662" t="s">
        <v>1052</v>
      </c>
      <c r="V62" s="662"/>
      <c r="W62" s="662"/>
      <c r="X62" s="662"/>
      <c r="Y62" s="662" t="s">
        <v>1053</v>
      </c>
      <c r="Z62" s="662"/>
      <c r="AA62" s="662"/>
      <c r="AB62" s="662"/>
      <c r="AC62" s="662" t="s">
        <v>1054</v>
      </c>
      <c r="AD62" s="662"/>
      <c r="AE62" s="662"/>
      <c r="AF62" s="662"/>
      <c r="AG62" s="754" t="s">
        <v>1055</v>
      </c>
      <c r="AH62" s="754"/>
      <c r="AI62" s="754"/>
      <c r="AJ62" s="754"/>
      <c r="AK62" s="754"/>
      <c r="AL62" s="754"/>
      <c r="AM62" s="755" t="s">
        <v>1056</v>
      </c>
      <c r="AN62" s="755"/>
      <c r="AO62" s="755"/>
      <c r="AP62" s="755"/>
      <c r="AQ62" s="755"/>
      <c r="AR62" s="755"/>
      <c r="AS62" s="753" t="s">
        <v>1057</v>
      </c>
      <c r="AT62" s="753"/>
      <c r="AU62" s="753"/>
      <c r="AV62" s="753"/>
      <c r="AW62" s="753" t="s">
        <v>1058</v>
      </c>
      <c r="AX62" s="753"/>
      <c r="AY62" s="753"/>
      <c r="AZ62" s="753"/>
      <c r="BA62" s="753" t="s">
        <v>1059</v>
      </c>
      <c r="BB62" s="753"/>
      <c r="BC62" s="753"/>
      <c r="BD62" s="753"/>
      <c r="BE62" s="753" t="s">
        <v>1060</v>
      </c>
      <c r="BF62" s="753"/>
      <c r="BG62" s="753"/>
      <c r="BH62" s="795"/>
    </row>
    <row r="63" ht="15.95" customHeight="1" spans="1:60">
      <c r="A63" s="657" t="str">
        <f>IF(目录!G2="中文",对照!Z82,IF(目录!G2="English",对照!AA82,对照!Z82))</f>
        <v>位置</v>
      </c>
      <c r="B63" s="658"/>
      <c r="C63" s="658"/>
      <c r="D63" s="658"/>
      <c r="E63" s="696" t="s">
        <v>905</v>
      </c>
      <c r="F63" s="696"/>
      <c r="G63" s="696"/>
      <c r="H63" s="696"/>
      <c r="I63" s="662" t="s">
        <v>1061</v>
      </c>
      <c r="J63" s="662"/>
      <c r="K63" s="662"/>
      <c r="L63" s="662"/>
      <c r="M63" s="662" t="s">
        <v>1062</v>
      </c>
      <c r="N63" s="662"/>
      <c r="O63" s="662"/>
      <c r="P63" s="662"/>
      <c r="Q63" s="662" t="s">
        <v>1063</v>
      </c>
      <c r="R63" s="662"/>
      <c r="S63" s="662"/>
      <c r="T63" s="662"/>
      <c r="U63" s="662" t="s">
        <v>1064</v>
      </c>
      <c r="V63" s="662"/>
      <c r="W63" s="662"/>
      <c r="X63" s="662"/>
      <c r="Y63" s="662" t="s">
        <v>1065</v>
      </c>
      <c r="Z63" s="662"/>
      <c r="AA63" s="662"/>
      <c r="AB63" s="662"/>
      <c r="AC63" s="662" t="s">
        <v>1066</v>
      </c>
      <c r="AD63" s="662"/>
      <c r="AE63" s="662"/>
      <c r="AF63" s="662"/>
      <c r="AG63" s="754" t="s">
        <v>765</v>
      </c>
      <c r="AH63" s="754"/>
      <c r="AI63" s="754"/>
      <c r="AJ63" s="754"/>
      <c r="AK63" s="754"/>
      <c r="AL63" s="754"/>
      <c r="AM63" s="755" t="s">
        <v>903</v>
      </c>
      <c r="AN63" s="755"/>
      <c r="AO63" s="755"/>
      <c r="AP63" s="755"/>
      <c r="AQ63" s="755"/>
      <c r="AR63" s="755"/>
      <c r="AS63" s="753" t="s">
        <v>1067</v>
      </c>
      <c r="AT63" s="753"/>
      <c r="AU63" s="753"/>
      <c r="AV63" s="753"/>
      <c r="AW63" s="753" t="s">
        <v>1068</v>
      </c>
      <c r="AX63" s="753"/>
      <c r="AY63" s="753"/>
      <c r="AZ63" s="753"/>
      <c r="BA63" s="753" t="s">
        <v>1069</v>
      </c>
      <c r="BB63" s="753"/>
      <c r="BC63" s="753"/>
      <c r="BD63" s="753"/>
      <c r="BE63" s="753" t="s">
        <v>1070</v>
      </c>
      <c r="BF63" s="753"/>
      <c r="BG63" s="753"/>
      <c r="BH63" s="795"/>
    </row>
    <row r="64" ht="15.95" customHeight="1" spans="1:60">
      <c r="A64" s="697" t="s">
        <v>259</v>
      </c>
      <c r="B64" s="698"/>
      <c r="C64" s="698"/>
      <c r="D64" s="698"/>
      <c r="E64" s="698"/>
      <c r="F64" s="698"/>
      <c r="G64" s="699"/>
      <c r="H64" s="700"/>
      <c r="I64" s="700"/>
      <c r="J64" s="700"/>
      <c r="K64" s="700"/>
      <c r="L64" s="700"/>
      <c r="M64" s="718"/>
      <c r="N64" s="719" t="s">
        <v>894</v>
      </c>
      <c r="O64" s="720"/>
      <c r="P64" s="721"/>
      <c r="Q64" s="737" t="s">
        <v>1071</v>
      </c>
      <c r="R64" s="738"/>
      <c r="S64" s="738"/>
      <c r="T64" s="738"/>
      <c r="U64" s="738"/>
      <c r="V64" s="739"/>
      <c r="W64" s="699"/>
      <c r="X64" s="700"/>
      <c r="Y64" s="700"/>
      <c r="Z64" s="700"/>
      <c r="AA64" s="700"/>
      <c r="AB64" s="700"/>
      <c r="AC64" s="718"/>
      <c r="AD64" s="719" t="s">
        <v>894</v>
      </c>
      <c r="AE64" s="720"/>
      <c r="AF64" s="721"/>
      <c r="AG64" s="754" t="s">
        <v>759</v>
      </c>
      <c r="AH64" s="754"/>
      <c r="AI64" s="754"/>
      <c r="AJ64" s="754"/>
      <c r="AK64" s="754"/>
      <c r="AL64" s="754"/>
      <c r="AM64" s="755" t="s">
        <v>900</v>
      </c>
      <c r="AN64" s="755"/>
      <c r="AO64" s="755"/>
      <c r="AP64" s="755"/>
      <c r="AQ64" s="755"/>
      <c r="AR64" s="755"/>
      <c r="AS64" s="753" t="s">
        <v>1072</v>
      </c>
      <c r="AT64" s="753"/>
      <c r="AU64" s="753"/>
      <c r="AV64" s="753"/>
      <c r="AW64" s="753" t="s">
        <v>1073</v>
      </c>
      <c r="AX64" s="753"/>
      <c r="AY64" s="753"/>
      <c r="AZ64" s="753"/>
      <c r="BA64" s="753" t="s">
        <v>1074</v>
      </c>
      <c r="BB64" s="753"/>
      <c r="BC64" s="753"/>
      <c r="BD64" s="753"/>
      <c r="BE64" s="753" t="s">
        <v>1075</v>
      </c>
      <c r="BF64" s="753"/>
      <c r="BG64" s="753"/>
      <c r="BH64" s="795"/>
    </row>
    <row r="65" ht="15.95" customHeight="1" spans="1:60">
      <c r="A65" s="697" t="s">
        <v>328</v>
      </c>
      <c r="B65" s="698"/>
      <c r="C65" s="698"/>
      <c r="D65" s="698"/>
      <c r="E65" s="698"/>
      <c r="F65" s="698"/>
      <c r="G65" s="699"/>
      <c r="H65" s="700"/>
      <c r="I65" s="700"/>
      <c r="J65" s="700"/>
      <c r="K65" s="700"/>
      <c r="L65" s="700"/>
      <c r="M65" s="718"/>
      <c r="N65" s="719" t="s">
        <v>894</v>
      </c>
      <c r="O65" s="720"/>
      <c r="P65" s="721"/>
      <c r="Q65" s="737"/>
      <c r="R65" s="738"/>
      <c r="S65" s="738"/>
      <c r="T65" s="738"/>
      <c r="U65" s="738"/>
      <c r="V65" s="738"/>
      <c r="W65" s="738"/>
      <c r="X65" s="738"/>
      <c r="Y65" s="738"/>
      <c r="Z65" s="738"/>
      <c r="AA65" s="738"/>
      <c r="AB65" s="738"/>
      <c r="AC65" s="738"/>
      <c r="AD65" s="738"/>
      <c r="AE65" s="738"/>
      <c r="AF65" s="739"/>
      <c r="AG65" s="798" t="s">
        <v>1076</v>
      </c>
      <c r="AH65" s="799"/>
      <c r="AI65" s="799"/>
      <c r="AJ65" s="799"/>
      <c r="AK65" s="799"/>
      <c r="AL65" s="799"/>
      <c r="AM65" s="799"/>
      <c r="AN65" s="799"/>
      <c r="AO65" s="799"/>
      <c r="AP65" s="799"/>
      <c r="AQ65" s="799"/>
      <c r="AR65" s="799"/>
      <c r="AS65" s="799"/>
      <c r="AT65" s="799"/>
      <c r="AU65" s="799"/>
      <c r="AV65" s="799"/>
      <c r="AW65" s="799"/>
      <c r="AX65" s="799"/>
      <c r="AY65" s="799"/>
      <c r="AZ65" s="799"/>
      <c r="BA65" s="799"/>
      <c r="BB65" s="799"/>
      <c r="BC65" s="799"/>
      <c r="BD65" s="799"/>
      <c r="BE65" s="799"/>
      <c r="BF65" s="799"/>
      <c r="BG65" s="799"/>
      <c r="BH65" s="862"/>
    </row>
    <row r="66" ht="15.95" customHeight="1" spans="1:60">
      <c r="A66" s="797" t="s">
        <v>1077</v>
      </c>
      <c r="B66" s="760"/>
      <c r="C66" s="760"/>
      <c r="D66" s="760"/>
      <c r="E66" s="760"/>
      <c r="F66" s="760"/>
      <c r="G66" s="760"/>
      <c r="H66" s="760"/>
      <c r="I66" s="760"/>
      <c r="J66" s="760"/>
      <c r="K66" s="760"/>
      <c r="L66" s="760"/>
      <c r="M66" s="760"/>
      <c r="N66" s="760"/>
      <c r="O66" s="760"/>
      <c r="P66" s="760"/>
      <c r="Q66" s="760"/>
      <c r="R66" s="760"/>
      <c r="S66" s="760"/>
      <c r="T66" s="760"/>
      <c r="U66" s="760"/>
      <c r="V66" s="760"/>
      <c r="W66" s="760"/>
      <c r="X66" s="760"/>
      <c r="Y66" s="760"/>
      <c r="Z66" s="760"/>
      <c r="AA66" s="760"/>
      <c r="AB66" s="760"/>
      <c r="AC66" s="760"/>
      <c r="AD66" s="760"/>
      <c r="AE66" s="760"/>
      <c r="AF66" s="760"/>
      <c r="AG66" s="737" t="s">
        <v>1078</v>
      </c>
      <c r="AH66" s="738"/>
      <c r="AI66" s="738"/>
      <c r="AJ66" s="738"/>
      <c r="AK66" s="738"/>
      <c r="AL66" s="738"/>
      <c r="AM66" s="738"/>
      <c r="AN66" s="738"/>
      <c r="AO66" s="738"/>
      <c r="AP66" s="738"/>
      <c r="AQ66" s="738"/>
      <c r="AR66" s="738"/>
      <c r="AS66" s="739"/>
      <c r="AT66" s="798"/>
      <c r="AU66" s="799"/>
      <c r="AV66" s="799"/>
      <c r="AW66" s="799"/>
      <c r="AX66" s="799"/>
      <c r="AY66" s="799"/>
      <c r="AZ66" s="799"/>
      <c r="BA66" s="799"/>
      <c r="BB66" s="799"/>
      <c r="BC66" s="799"/>
      <c r="BD66" s="799"/>
      <c r="BE66" s="799"/>
      <c r="BF66" s="799"/>
      <c r="BG66" s="799"/>
      <c r="BH66" s="862"/>
    </row>
    <row r="67" ht="15.95" customHeight="1" spans="1:60">
      <c r="A67" s="697" t="s">
        <v>1079</v>
      </c>
      <c r="B67" s="698"/>
      <c r="C67" s="698"/>
      <c r="D67" s="698"/>
      <c r="E67" s="698"/>
      <c r="F67" s="698"/>
      <c r="G67" s="798"/>
      <c r="H67" s="799"/>
      <c r="I67" s="799"/>
      <c r="J67" s="799"/>
      <c r="K67" s="799"/>
      <c r="L67" s="799"/>
      <c r="M67" s="799"/>
      <c r="N67" s="799"/>
      <c r="O67" s="799"/>
      <c r="P67" s="835"/>
      <c r="Q67" s="737" t="s">
        <v>1080</v>
      </c>
      <c r="R67" s="738"/>
      <c r="S67" s="738"/>
      <c r="T67" s="738"/>
      <c r="U67" s="738"/>
      <c r="V67" s="739"/>
      <c r="W67" s="699"/>
      <c r="X67" s="700"/>
      <c r="Y67" s="700"/>
      <c r="Z67" s="700"/>
      <c r="AA67" s="700"/>
      <c r="AB67" s="700"/>
      <c r="AC67" s="718"/>
      <c r="AD67" s="719" t="s">
        <v>894</v>
      </c>
      <c r="AE67" s="720"/>
      <c r="AF67" s="721"/>
      <c r="AG67" s="737" t="s">
        <v>1081</v>
      </c>
      <c r="AH67" s="738"/>
      <c r="AI67" s="738"/>
      <c r="AJ67" s="738"/>
      <c r="AK67" s="738"/>
      <c r="AL67" s="738"/>
      <c r="AM67" s="738"/>
      <c r="AN67" s="738"/>
      <c r="AO67" s="738"/>
      <c r="AP67" s="738"/>
      <c r="AQ67" s="738"/>
      <c r="AR67" s="738"/>
      <c r="AS67" s="739"/>
      <c r="AT67" s="798"/>
      <c r="AU67" s="799"/>
      <c r="AV67" s="799"/>
      <c r="AW67" s="799"/>
      <c r="AX67" s="799"/>
      <c r="AY67" s="799"/>
      <c r="AZ67" s="799"/>
      <c r="BA67" s="799"/>
      <c r="BB67" s="799"/>
      <c r="BC67" s="799"/>
      <c r="BD67" s="799"/>
      <c r="BE67" s="799"/>
      <c r="BF67" s="799"/>
      <c r="BG67" s="799"/>
      <c r="BH67" s="862"/>
    </row>
    <row r="68" ht="15.95" customHeight="1" spans="1:60">
      <c r="A68" s="697" t="s">
        <v>1082</v>
      </c>
      <c r="B68" s="698"/>
      <c r="C68" s="698"/>
      <c r="D68" s="698"/>
      <c r="E68" s="698"/>
      <c r="F68" s="698"/>
      <c r="G68" s="699"/>
      <c r="H68" s="700"/>
      <c r="I68" s="700"/>
      <c r="J68" s="700"/>
      <c r="K68" s="700"/>
      <c r="L68" s="700"/>
      <c r="M68" s="718"/>
      <c r="N68" s="719" t="s">
        <v>900</v>
      </c>
      <c r="O68" s="720"/>
      <c r="P68" s="721"/>
      <c r="Q68" s="737" t="s">
        <v>1083</v>
      </c>
      <c r="R68" s="738"/>
      <c r="S68" s="738"/>
      <c r="T68" s="738"/>
      <c r="U68" s="738"/>
      <c r="V68" s="739"/>
      <c r="W68" s="699"/>
      <c r="X68" s="700"/>
      <c r="Y68" s="700"/>
      <c r="Z68" s="700"/>
      <c r="AA68" s="700"/>
      <c r="AB68" s="700"/>
      <c r="AC68" s="718"/>
      <c r="AD68" s="719" t="s">
        <v>903</v>
      </c>
      <c r="AE68" s="720"/>
      <c r="AF68" s="721"/>
      <c r="AG68" s="709"/>
      <c r="AH68" s="733"/>
      <c r="AI68" s="733"/>
      <c r="AJ68" s="733"/>
      <c r="AK68" s="733"/>
      <c r="AL68" s="733"/>
      <c r="AM68" s="733"/>
      <c r="AN68" s="854"/>
      <c r="AO68" s="648" t="s">
        <v>755</v>
      </c>
      <c r="AP68" s="648"/>
      <c r="AQ68" s="648"/>
      <c r="AR68" s="648"/>
      <c r="AS68" s="648"/>
      <c r="AT68" s="648" t="s">
        <v>757</v>
      </c>
      <c r="AU68" s="648"/>
      <c r="AV68" s="648"/>
      <c r="AW68" s="648"/>
      <c r="AX68" s="648"/>
      <c r="AY68" s="648" t="s">
        <v>1084</v>
      </c>
      <c r="AZ68" s="648"/>
      <c r="BA68" s="648"/>
      <c r="BB68" s="648"/>
      <c r="BC68" s="648"/>
      <c r="BD68" s="648" t="s">
        <v>870</v>
      </c>
      <c r="BE68" s="648"/>
      <c r="BF68" s="648"/>
      <c r="BG68" s="648"/>
      <c r="BH68" s="768"/>
    </row>
    <row r="69" ht="15.95" customHeight="1" spans="1:60">
      <c r="A69" s="697" t="s">
        <v>1085</v>
      </c>
      <c r="B69" s="698"/>
      <c r="C69" s="698"/>
      <c r="D69" s="698"/>
      <c r="E69" s="698"/>
      <c r="F69" s="698"/>
      <c r="G69" s="699"/>
      <c r="H69" s="700"/>
      <c r="I69" s="700"/>
      <c r="J69" s="700"/>
      <c r="K69" s="700"/>
      <c r="L69" s="700"/>
      <c r="M69" s="718"/>
      <c r="N69" s="719" t="s">
        <v>905</v>
      </c>
      <c r="O69" s="720"/>
      <c r="P69" s="721"/>
      <c r="Q69" s="737"/>
      <c r="R69" s="738"/>
      <c r="S69" s="738"/>
      <c r="T69" s="738"/>
      <c r="U69" s="738"/>
      <c r="V69" s="738"/>
      <c r="W69" s="738"/>
      <c r="X69" s="738"/>
      <c r="Y69" s="738"/>
      <c r="Z69" s="738"/>
      <c r="AA69" s="738"/>
      <c r="AB69" s="738"/>
      <c r="AC69" s="738"/>
      <c r="AD69" s="738"/>
      <c r="AE69" s="738"/>
      <c r="AF69" s="739"/>
      <c r="AG69" s="855" t="s">
        <v>565</v>
      </c>
      <c r="AH69" s="856"/>
      <c r="AI69" s="856"/>
      <c r="AJ69" s="856"/>
      <c r="AK69" s="856"/>
      <c r="AL69" s="856"/>
      <c r="AM69" s="856"/>
      <c r="AN69" s="857"/>
      <c r="AO69" s="719" t="s">
        <v>903</v>
      </c>
      <c r="AP69" s="720"/>
      <c r="AQ69" s="720"/>
      <c r="AR69" s="720"/>
      <c r="AS69" s="721"/>
      <c r="AT69" s="719" t="s">
        <v>905</v>
      </c>
      <c r="AU69" s="720"/>
      <c r="AV69" s="720"/>
      <c r="AW69" s="720"/>
      <c r="AX69" s="721"/>
      <c r="AY69" s="719" t="s">
        <v>900</v>
      </c>
      <c r="AZ69" s="720"/>
      <c r="BA69" s="720"/>
      <c r="BB69" s="720"/>
      <c r="BC69" s="721"/>
      <c r="BD69" s="719" t="s">
        <v>894</v>
      </c>
      <c r="BE69" s="720"/>
      <c r="BF69" s="720"/>
      <c r="BG69" s="720"/>
      <c r="BH69" s="863"/>
    </row>
    <row r="70" spans="1:60">
      <c r="A70" s="800" t="str">
        <f>IF(目录!G2="中文",对照!Z79,IF(目录!G2="English",对照!AA79,对照!Z79))</f>
        <v>保压</v>
      </c>
      <c r="B70" s="801"/>
      <c r="C70" s="801"/>
      <c r="D70" s="801"/>
      <c r="E70" s="801"/>
      <c r="F70" s="801"/>
      <c r="G70" s="801"/>
      <c r="H70" s="801"/>
      <c r="I70" s="801"/>
      <c r="J70" s="801"/>
      <c r="K70" s="801"/>
      <c r="L70" s="801"/>
      <c r="M70" s="801"/>
      <c r="N70" s="801"/>
      <c r="O70" s="801"/>
      <c r="P70" s="801"/>
      <c r="Q70" s="801"/>
      <c r="R70" s="801"/>
      <c r="S70" s="801"/>
      <c r="T70" s="801"/>
      <c r="U70" s="801"/>
      <c r="V70" s="801"/>
      <c r="W70" s="801"/>
      <c r="X70" s="801"/>
      <c r="Y70" s="801"/>
      <c r="Z70" s="801"/>
      <c r="AA70" s="801"/>
      <c r="AB70" s="801"/>
      <c r="AC70" s="801"/>
      <c r="AD70" s="801"/>
      <c r="AE70" s="801"/>
      <c r="AF70" s="801"/>
      <c r="AG70" s="648" t="s">
        <v>1086</v>
      </c>
      <c r="AH70" s="648"/>
      <c r="AI70" s="648"/>
      <c r="AJ70" s="648"/>
      <c r="AK70" s="648"/>
      <c r="AL70" s="648"/>
      <c r="AM70" s="648"/>
      <c r="AN70" s="648"/>
      <c r="AO70" s="860" t="s">
        <v>1087</v>
      </c>
      <c r="AP70" s="861"/>
      <c r="AQ70" s="861"/>
      <c r="AR70" s="861"/>
      <c r="AS70" s="861"/>
      <c r="AT70" s="860" t="s">
        <v>1088</v>
      </c>
      <c r="AU70" s="861"/>
      <c r="AV70" s="861"/>
      <c r="AW70" s="861"/>
      <c r="AX70" s="861"/>
      <c r="AY70" s="860" t="s">
        <v>1089</v>
      </c>
      <c r="AZ70" s="861"/>
      <c r="BA70" s="861"/>
      <c r="BB70" s="861"/>
      <c r="BC70" s="861"/>
      <c r="BD70" s="860" t="s">
        <v>1090</v>
      </c>
      <c r="BE70" s="861"/>
      <c r="BF70" s="861"/>
      <c r="BG70" s="861"/>
      <c r="BH70" s="864"/>
    </row>
    <row r="71" spans="1:60">
      <c r="A71" s="802"/>
      <c r="B71" s="742"/>
      <c r="C71" s="742"/>
      <c r="D71" s="748"/>
      <c r="E71" s="723" t="s">
        <v>565</v>
      </c>
      <c r="F71" s="724"/>
      <c r="G71" s="724"/>
      <c r="H71" s="740"/>
      <c r="I71" s="723">
        <v>1</v>
      </c>
      <c r="J71" s="724"/>
      <c r="K71" s="724"/>
      <c r="L71" s="740"/>
      <c r="M71" s="723">
        <v>2</v>
      </c>
      <c r="N71" s="724"/>
      <c r="O71" s="724"/>
      <c r="P71" s="724"/>
      <c r="Q71" s="740"/>
      <c r="R71" s="723">
        <v>3</v>
      </c>
      <c r="S71" s="724"/>
      <c r="T71" s="724"/>
      <c r="U71" s="724"/>
      <c r="V71" s="740"/>
      <c r="W71" s="723">
        <v>4</v>
      </c>
      <c r="X71" s="724"/>
      <c r="Y71" s="724"/>
      <c r="Z71" s="724"/>
      <c r="AA71" s="740"/>
      <c r="AB71" s="723">
        <v>5</v>
      </c>
      <c r="AC71" s="724"/>
      <c r="AD71" s="724"/>
      <c r="AE71" s="724"/>
      <c r="AF71" s="740"/>
      <c r="AG71" s="807" t="s">
        <v>1091</v>
      </c>
      <c r="AH71" s="811"/>
      <c r="AI71" s="811"/>
      <c r="AJ71" s="811"/>
      <c r="AK71" s="811"/>
      <c r="AL71" s="811"/>
      <c r="AM71" s="811"/>
      <c r="AN71" s="815"/>
      <c r="AO71" s="860" t="s">
        <v>1092</v>
      </c>
      <c r="AP71" s="861"/>
      <c r="AQ71" s="861"/>
      <c r="AR71" s="861"/>
      <c r="AS71" s="861"/>
      <c r="AT71" s="753" t="s">
        <v>1093</v>
      </c>
      <c r="AU71" s="753"/>
      <c r="AV71" s="753"/>
      <c r="AW71" s="753"/>
      <c r="AX71" s="753"/>
      <c r="AY71" s="861" t="s">
        <v>1094</v>
      </c>
      <c r="AZ71" s="861"/>
      <c r="BA71" s="861"/>
      <c r="BB71" s="861"/>
      <c r="BC71" s="861"/>
      <c r="BD71" s="860" t="s">
        <v>1095</v>
      </c>
      <c r="BE71" s="861"/>
      <c r="BF71" s="861"/>
      <c r="BG71" s="861"/>
      <c r="BH71" s="864"/>
    </row>
    <row r="72" spans="1:60">
      <c r="A72" s="803" t="str">
        <f>IF(目录!G2="中文",对照!Z80,IF(目录!G2="English",对照!AA80,对照!Z80))</f>
        <v>压力</v>
      </c>
      <c r="B72" s="724"/>
      <c r="C72" s="724"/>
      <c r="D72" s="740"/>
      <c r="E72" s="696" t="s">
        <v>903</v>
      </c>
      <c r="F72" s="696"/>
      <c r="G72" s="696"/>
      <c r="H72" s="696"/>
      <c r="I72" s="809" t="s">
        <v>1096</v>
      </c>
      <c r="J72" s="809"/>
      <c r="K72" s="809"/>
      <c r="L72" s="809"/>
      <c r="M72" s="810" t="s">
        <v>1097</v>
      </c>
      <c r="N72" s="836"/>
      <c r="O72" s="836"/>
      <c r="P72" s="836"/>
      <c r="Q72" s="846"/>
      <c r="R72" s="810" t="s">
        <v>1098</v>
      </c>
      <c r="S72" s="836"/>
      <c r="T72" s="836"/>
      <c r="U72" s="836"/>
      <c r="V72" s="846"/>
      <c r="W72" s="810" t="s">
        <v>1099</v>
      </c>
      <c r="X72" s="836"/>
      <c r="Y72" s="836"/>
      <c r="Z72" s="836"/>
      <c r="AA72" s="846"/>
      <c r="AB72" s="810" t="s">
        <v>1100</v>
      </c>
      <c r="AC72" s="836"/>
      <c r="AD72" s="836"/>
      <c r="AE72" s="836"/>
      <c r="AF72" s="846"/>
      <c r="AG72" s="737" t="s">
        <v>1101</v>
      </c>
      <c r="AH72" s="738"/>
      <c r="AI72" s="738"/>
      <c r="AJ72" s="738"/>
      <c r="AK72" s="738"/>
      <c r="AL72" s="738"/>
      <c r="AM72" s="738"/>
      <c r="AN72" s="738"/>
      <c r="AO72" s="738"/>
      <c r="AP72" s="738"/>
      <c r="AQ72" s="738"/>
      <c r="AR72" s="738"/>
      <c r="AS72" s="739"/>
      <c r="AT72" s="667"/>
      <c r="AU72" s="668"/>
      <c r="AV72" s="668"/>
      <c r="AW72" s="668"/>
      <c r="AX72" s="668"/>
      <c r="AY72" s="668"/>
      <c r="AZ72" s="668"/>
      <c r="BA72" s="668"/>
      <c r="BB72" s="668"/>
      <c r="BC72" s="668"/>
      <c r="BD72" s="668"/>
      <c r="BE72" s="710"/>
      <c r="BF72" s="865" t="s">
        <v>894</v>
      </c>
      <c r="BG72" s="866"/>
      <c r="BH72" s="867"/>
    </row>
    <row r="73" spans="1:60">
      <c r="A73" s="803" t="str">
        <f>IF(目录!G2="中文",对照!Z81,IF(目录!G2="English",对照!AA81,对照!Z81))</f>
        <v>速度</v>
      </c>
      <c r="B73" s="724"/>
      <c r="C73" s="724"/>
      <c r="D73" s="740"/>
      <c r="E73" s="696" t="s">
        <v>905</v>
      </c>
      <c r="F73" s="696"/>
      <c r="G73" s="696"/>
      <c r="H73" s="696"/>
      <c r="I73" s="809" t="s">
        <v>1102</v>
      </c>
      <c r="J73" s="809"/>
      <c r="K73" s="809"/>
      <c r="L73" s="809"/>
      <c r="M73" s="810" t="s">
        <v>1103</v>
      </c>
      <c r="N73" s="836"/>
      <c r="O73" s="836"/>
      <c r="P73" s="836"/>
      <c r="Q73" s="846"/>
      <c r="R73" s="810" t="s">
        <v>1104</v>
      </c>
      <c r="S73" s="836"/>
      <c r="T73" s="836"/>
      <c r="U73" s="836"/>
      <c r="V73" s="846"/>
      <c r="W73" s="810" t="s">
        <v>1105</v>
      </c>
      <c r="X73" s="836"/>
      <c r="Y73" s="836"/>
      <c r="Z73" s="836"/>
      <c r="AA73" s="846"/>
      <c r="AB73" s="810" t="s">
        <v>1106</v>
      </c>
      <c r="AC73" s="836"/>
      <c r="AD73" s="836"/>
      <c r="AE73" s="836"/>
      <c r="AF73" s="846"/>
      <c r="AG73" s="737" t="s">
        <v>1107</v>
      </c>
      <c r="AH73" s="738"/>
      <c r="AI73" s="738"/>
      <c r="AJ73" s="738"/>
      <c r="AK73" s="738"/>
      <c r="AL73" s="738"/>
      <c r="AM73" s="738"/>
      <c r="AN73" s="738"/>
      <c r="AO73" s="738"/>
      <c r="AP73" s="738"/>
      <c r="AQ73" s="738"/>
      <c r="AR73" s="738"/>
      <c r="AS73" s="739"/>
      <c r="AT73" s="667"/>
      <c r="AU73" s="668"/>
      <c r="AV73" s="668"/>
      <c r="AW73" s="668"/>
      <c r="AX73" s="668"/>
      <c r="AY73" s="668"/>
      <c r="AZ73" s="668"/>
      <c r="BA73" s="668"/>
      <c r="BB73" s="668"/>
      <c r="BC73" s="668"/>
      <c r="BD73" s="668"/>
      <c r="BE73" s="710"/>
      <c r="BF73" s="865" t="s">
        <v>900</v>
      </c>
      <c r="BG73" s="866"/>
      <c r="BH73" s="867"/>
    </row>
    <row r="74" spans="1:60">
      <c r="A74" s="803" t="str">
        <f>IF(目录!G2="中文",对照!Z145,IF(目录!G2="English",对照!AA145,对照!Z145))</f>
        <v>时间</v>
      </c>
      <c r="B74" s="724"/>
      <c r="C74" s="724"/>
      <c r="D74" s="740"/>
      <c r="E74" s="804" t="s">
        <v>894</v>
      </c>
      <c r="F74" s="805"/>
      <c r="G74" s="805"/>
      <c r="H74" s="806"/>
      <c r="I74" s="809" t="s">
        <v>1108</v>
      </c>
      <c r="J74" s="809"/>
      <c r="K74" s="809"/>
      <c r="L74" s="809"/>
      <c r="M74" s="810" t="s">
        <v>1109</v>
      </c>
      <c r="N74" s="836"/>
      <c r="O74" s="836"/>
      <c r="P74" s="836"/>
      <c r="Q74" s="846"/>
      <c r="R74" s="810" t="s">
        <v>1110</v>
      </c>
      <c r="S74" s="836"/>
      <c r="T74" s="836"/>
      <c r="U74" s="836"/>
      <c r="V74" s="846"/>
      <c r="W74" s="810" t="s">
        <v>1111</v>
      </c>
      <c r="X74" s="836"/>
      <c r="Y74" s="836"/>
      <c r="Z74" s="836"/>
      <c r="AA74" s="846"/>
      <c r="AB74" s="810" t="s">
        <v>1112</v>
      </c>
      <c r="AC74" s="836"/>
      <c r="AD74" s="836"/>
      <c r="AE74" s="836"/>
      <c r="AF74" s="846"/>
      <c r="AG74" s="858"/>
      <c r="AH74" s="859"/>
      <c r="AI74" s="859"/>
      <c r="AJ74" s="859"/>
      <c r="AK74" s="859"/>
      <c r="AL74" s="859"/>
      <c r="AM74" s="859"/>
      <c r="AN74" s="859"/>
      <c r="AO74" s="859"/>
      <c r="AP74" s="859"/>
      <c r="AQ74" s="859"/>
      <c r="AR74" s="859"/>
      <c r="AS74" s="859"/>
      <c r="AT74" s="859"/>
      <c r="AU74" s="859"/>
      <c r="AV74" s="859"/>
      <c r="AW74" s="859"/>
      <c r="AX74" s="859"/>
      <c r="AY74" s="859"/>
      <c r="AZ74" s="859"/>
      <c r="BA74" s="859"/>
      <c r="BB74" s="859"/>
      <c r="BC74" s="859"/>
      <c r="BD74" s="859"/>
      <c r="BE74" s="859"/>
      <c r="BF74" s="859"/>
      <c r="BG74" s="859"/>
      <c r="BH74" s="868"/>
    </row>
    <row r="75" spans="1:60">
      <c r="A75" s="802" t="s">
        <v>1113</v>
      </c>
      <c r="B75" s="742"/>
      <c r="C75" s="742"/>
      <c r="D75" s="742"/>
      <c r="E75" s="742"/>
      <c r="F75" s="742"/>
      <c r="G75" s="742"/>
      <c r="H75" s="742"/>
      <c r="I75" s="742"/>
      <c r="J75" s="742"/>
      <c r="K75" s="742"/>
      <c r="L75" s="742"/>
      <c r="M75" s="742"/>
      <c r="N75" s="742"/>
      <c r="O75" s="742"/>
      <c r="P75" s="742"/>
      <c r="Q75" s="742"/>
      <c r="R75" s="742"/>
      <c r="S75" s="742"/>
      <c r="T75" s="742"/>
      <c r="U75" s="742"/>
      <c r="V75" s="742"/>
      <c r="W75" s="742"/>
      <c r="X75" s="742"/>
      <c r="Y75" s="742"/>
      <c r="Z75" s="742"/>
      <c r="AA75" s="742"/>
      <c r="AB75" s="742"/>
      <c r="AC75" s="742"/>
      <c r="AD75" s="742"/>
      <c r="AE75" s="742"/>
      <c r="AF75" s="742"/>
      <c r="AG75" s="742"/>
      <c r="AH75" s="742"/>
      <c r="AI75" s="742"/>
      <c r="AJ75" s="742"/>
      <c r="AK75" s="742"/>
      <c r="AL75" s="742"/>
      <c r="AM75" s="742"/>
      <c r="AN75" s="742"/>
      <c r="AO75" s="742"/>
      <c r="AP75" s="742"/>
      <c r="AQ75" s="742"/>
      <c r="AR75" s="742"/>
      <c r="AS75" s="742"/>
      <c r="AT75" s="742"/>
      <c r="AU75" s="742"/>
      <c r="AV75" s="742"/>
      <c r="AW75" s="742"/>
      <c r="AX75" s="742"/>
      <c r="AY75" s="742"/>
      <c r="AZ75" s="742"/>
      <c r="BA75" s="742"/>
      <c r="BB75" s="742"/>
      <c r="BC75" s="742"/>
      <c r="BD75" s="742"/>
      <c r="BE75" s="742"/>
      <c r="BF75" s="742"/>
      <c r="BG75" s="742"/>
      <c r="BH75" s="764"/>
    </row>
    <row r="76" ht="15.95" customHeight="1" spans="1:60">
      <c r="A76" s="803" t="str">
        <f>IF(目录!G2="中文",对照!Z30,IF(目录!G2="English",对照!AA30,对照!Z30))</f>
        <v>加热区域</v>
      </c>
      <c r="B76" s="724"/>
      <c r="C76" s="724"/>
      <c r="D76" s="724"/>
      <c r="E76" s="724"/>
      <c r="F76" s="724"/>
      <c r="G76" s="740"/>
      <c r="H76" s="807" t="s">
        <v>1114</v>
      </c>
      <c r="I76" s="811"/>
      <c r="J76" s="811"/>
      <c r="K76" s="815"/>
      <c r="L76" s="807" t="s">
        <v>1115</v>
      </c>
      <c r="M76" s="811"/>
      <c r="N76" s="811"/>
      <c r="O76" s="811"/>
      <c r="P76" s="811"/>
      <c r="Q76" s="807" t="s">
        <v>1116</v>
      </c>
      <c r="R76" s="811"/>
      <c r="S76" s="811"/>
      <c r="T76" s="811"/>
      <c r="U76" s="811"/>
      <c r="V76" s="807" t="s">
        <v>1117</v>
      </c>
      <c r="W76" s="811"/>
      <c r="X76" s="811"/>
      <c r="Y76" s="811"/>
      <c r="Z76" s="811"/>
      <c r="AA76" s="807" t="s">
        <v>1118</v>
      </c>
      <c r="AB76" s="811"/>
      <c r="AC76" s="811"/>
      <c r="AD76" s="811"/>
      <c r="AE76" s="811"/>
      <c r="AF76" s="807" t="s">
        <v>1119</v>
      </c>
      <c r="AG76" s="811"/>
      <c r="AH76" s="811"/>
      <c r="AI76" s="811"/>
      <c r="AJ76" s="811"/>
      <c r="AK76" s="807" t="s">
        <v>1120</v>
      </c>
      <c r="AL76" s="811"/>
      <c r="AM76" s="811"/>
      <c r="AN76" s="811"/>
      <c r="AO76" s="811"/>
      <c r="AP76" s="807" t="s">
        <v>1121</v>
      </c>
      <c r="AQ76" s="811"/>
      <c r="AR76" s="811"/>
      <c r="AS76" s="811"/>
      <c r="AT76" s="811"/>
      <c r="AU76" s="807" t="s">
        <v>1122</v>
      </c>
      <c r="AV76" s="811"/>
      <c r="AW76" s="811"/>
      <c r="AX76" s="811"/>
      <c r="AY76" s="811"/>
      <c r="AZ76" s="807" t="s">
        <v>1123</v>
      </c>
      <c r="BA76" s="811"/>
      <c r="BB76" s="811"/>
      <c r="BC76" s="811"/>
      <c r="BD76" s="811"/>
      <c r="BE76" s="807" t="s">
        <v>565</v>
      </c>
      <c r="BF76" s="811"/>
      <c r="BG76" s="811"/>
      <c r="BH76" s="869"/>
    </row>
    <row r="77" s="633" customFormat="1" ht="15.95" customHeight="1" spans="1:60">
      <c r="A77" s="803" t="str">
        <f>IF(目录!G2="中文",对照!Z31,IF(目录!G2="English",对照!AA31,对照!Z31))</f>
        <v>温度值</v>
      </c>
      <c r="B77" s="724"/>
      <c r="C77" s="724"/>
      <c r="D77" s="724"/>
      <c r="E77" s="724"/>
      <c r="F77" s="724"/>
      <c r="G77" s="740"/>
      <c r="H77" s="687"/>
      <c r="I77" s="670"/>
      <c r="J77" s="670"/>
      <c r="K77" s="688"/>
      <c r="L77" s="687"/>
      <c r="M77" s="670"/>
      <c r="N77" s="670"/>
      <c r="O77" s="670"/>
      <c r="P77" s="670"/>
      <c r="Q77" s="687"/>
      <c r="R77" s="670"/>
      <c r="S77" s="670"/>
      <c r="T77" s="670"/>
      <c r="U77" s="670"/>
      <c r="V77" s="687"/>
      <c r="W77" s="670"/>
      <c r="X77" s="670"/>
      <c r="Y77" s="670"/>
      <c r="Z77" s="670"/>
      <c r="AA77" s="687"/>
      <c r="AB77" s="670"/>
      <c r="AC77" s="670"/>
      <c r="AD77" s="670"/>
      <c r="AE77" s="670"/>
      <c r="AF77" s="687"/>
      <c r="AG77" s="670"/>
      <c r="AH77" s="670"/>
      <c r="AI77" s="670"/>
      <c r="AJ77" s="670"/>
      <c r="AK77" s="687"/>
      <c r="AL77" s="670"/>
      <c r="AM77" s="670"/>
      <c r="AN77" s="670"/>
      <c r="AO77" s="670"/>
      <c r="AP77" s="687"/>
      <c r="AQ77" s="670"/>
      <c r="AR77" s="670"/>
      <c r="AS77" s="670"/>
      <c r="AT77" s="670"/>
      <c r="AU77" s="687"/>
      <c r="AV77" s="670"/>
      <c r="AW77" s="670"/>
      <c r="AX77" s="670"/>
      <c r="AY77" s="670"/>
      <c r="AZ77" s="687"/>
      <c r="BA77" s="670"/>
      <c r="BB77" s="670"/>
      <c r="BC77" s="670"/>
      <c r="BD77" s="670"/>
      <c r="BE77" s="847" t="s">
        <v>896</v>
      </c>
      <c r="BF77" s="848"/>
      <c r="BG77" s="848"/>
      <c r="BH77" s="870"/>
    </row>
    <row r="78" s="633" customFormat="1" ht="15.95" customHeight="1" spans="1:60">
      <c r="A78" s="808" t="s">
        <v>1124</v>
      </c>
      <c r="B78" s="808"/>
      <c r="C78" s="808"/>
      <c r="D78" s="808"/>
      <c r="E78" s="808"/>
      <c r="F78" s="808"/>
      <c r="G78" s="808"/>
      <c r="H78" s="808"/>
      <c r="I78" s="808"/>
      <c r="J78" s="808"/>
      <c r="K78" s="808"/>
      <c r="L78" s="808"/>
      <c r="M78" s="808"/>
      <c r="N78" s="808"/>
      <c r="O78" s="808"/>
      <c r="P78" s="808"/>
      <c r="Q78" s="808"/>
      <c r="R78" s="808"/>
      <c r="S78" s="808"/>
      <c r="T78" s="808"/>
      <c r="U78" s="808"/>
      <c r="V78" s="808"/>
      <c r="W78" s="808"/>
      <c r="X78" s="808"/>
      <c r="Y78" s="808"/>
      <c r="Z78" s="808"/>
      <c r="AA78" s="808"/>
      <c r="AB78" s="808"/>
      <c r="AC78" s="808"/>
      <c r="AD78" s="808"/>
      <c r="AE78" s="808"/>
      <c r="AF78" s="808"/>
      <c r="AG78" s="808"/>
      <c r="AH78" s="808"/>
      <c r="AI78" s="808"/>
      <c r="AJ78" s="808"/>
      <c r="AK78" s="808"/>
      <c r="AL78" s="808"/>
      <c r="AM78" s="808"/>
      <c r="AN78" s="808"/>
      <c r="AO78" s="808"/>
      <c r="AP78" s="808"/>
      <c r="AQ78" s="808"/>
      <c r="AR78" s="808"/>
      <c r="AS78" s="808"/>
      <c r="AT78" s="808"/>
      <c r="AU78" s="808"/>
      <c r="AV78" s="808"/>
      <c r="AW78" s="808"/>
      <c r="AX78" s="808"/>
      <c r="AY78" s="808"/>
      <c r="AZ78" s="808"/>
      <c r="BA78" s="808"/>
      <c r="BB78" s="808"/>
      <c r="BC78" s="808"/>
      <c r="BD78" s="808"/>
      <c r="BE78" s="808"/>
      <c r="BF78" s="808"/>
      <c r="BG78" s="808"/>
      <c r="BH78" s="808"/>
    </row>
    <row r="79" s="633" customFormat="1" ht="15.95" customHeight="1" spans="1:60">
      <c r="A79" s="803" t="s">
        <v>1125</v>
      </c>
      <c r="B79" s="724"/>
      <c r="C79" s="724"/>
      <c r="D79" s="724"/>
      <c r="E79" s="724"/>
      <c r="F79" s="724"/>
      <c r="G79" s="740"/>
      <c r="H79" s="809"/>
      <c r="I79" s="809"/>
      <c r="J79" s="809"/>
      <c r="K79" s="809"/>
      <c r="L79" s="809"/>
      <c r="M79" s="809"/>
      <c r="N79" s="809"/>
      <c r="O79" s="809"/>
      <c r="P79" s="809"/>
      <c r="Q79" s="804" t="s">
        <v>900</v>
      </c>
      <c r="R79" s="805"/>
      <c r="S79" s="805"/>
      <c r="T79" s="806"/>
      <c r="U79" s="809" t="s">
        <v>1126</v>
      </c>
      <c r="V79" s="809"/>
      <c r="W79" s="809"/>
      <c r="X79" s="809"/>
      <c r="Y79" s="809"/>
      <c r="Z79" s="809"/>
      <c r="AA79" s="809"/>
      <c r="AB79" s="809"/>
      <c r="AC79" s="809"/>
      <c r="AD79" s="809"/>
      <c r="AE79" s="809"/>
      <c r="AF79" s="809"/>
      <c r="AG79" s="809"/>
      <c r="AH79" s="809"/>
      <c r="AI79" s="809"/>
      <c r="AJ79" s="809"/>
      <c r="AK79" s="809"/>
      <c r="AL79" s="809"/>
      <c r="AM79" s="809"/>
      <c r="AN79" s="809"/>
      <c r="AO79" s="809"/>
      <c r="AP79" s="809"/>
      <c r="AQ79" s="809"/>
      <c r="AR79" s="809"/>
      <c r="AS79" s="809"/>
      <c r="AT79" s="809"/>
      <c r="AU79" s="809"/>
      <c r="AV79" s="809"/>
      <c r="AW79" s="809"/>
      <c r="AX79" s="809"/>
      <c r="AY79" s="809"/>
      <c r="AZ79" s="809"/>
      <c r="BA79" s="809"/>
      <c r="BB79" s="809"/>
      <c r="BC79" s="809"/>
      <c r="BD79" s="809"/>
      <c r="BE79" s="809"/>
      <c r="BF79" s="809"/>
      <c r="BG79" s="809"/>
      <c r="BH79" s="809"/>
    </row>
    <row r="80" s="633" customFormat="1" ht="15.95" customHeight="1" spans="1:60">
      <c r="A80" s="803" t="s">
        <v>1127</v>
      </c>
      <c r="B80" s="724"/>
      <c r="C80" s="724"/>
      <c r="D80" s="724"/>
      <c r="E80" s="724"/>
      <c r="F80" s="724"/>
      <c r="G80" s="740"/>
      <c r="H80" s="809"/>
      <c r="I80" s="809"/>
      <c r="J80" s="809"/>
      <c r="K80" s="809"/>
      <c r="L80" s="809"/>
      <c r="M80" s="809"/>
      <c r="N80" s="809"/>
      <c r="O80" s="809"/>
      <c r="P80" s="809"/>
      <c r="Q80" s="804" t="s">
        <v>894</v>
      </c>
      <c r="R80" s="805"/>
      <c r="S80" s="805"/>
      <c r="T80" s="806"/>
      <c r="U80" s="809"/>
      <c r="V80" s="809"/>
      <c r="W80" s="809"/>
      <c r="X80" s="809"/>
      <c r="Y80" s="648" t="s">
        <v>565</v>
      </c>
      <c r="Z80" s="648"/>
      <c r="AA80" s="648"/>
      <c r="AB80" s="648"/>
      <c r="AC80" s="648">
        <v>1</v>
      </c>
      <c r="AD80" s="648"/>
      <c r="AE80" s="648"/>
      <c r="AF80" s="648"/>
      <c r="AG80" s="648">
        <v>2</v>
      </c>
      <c r="AH80" s="648"/>
      <c r="AI80" s="648"/>
      <c r="AJ80" s="648"/>
      <c r="AK80" s="648">
        <v>3</v>
      </c>
      <c r="AL80" s="648"/>
      <c r="AM80" s="648"/>
      <c r="AN80" s="648"/>
      <c r="AO80" s="648">
        <v>4</v>
      </c>
      <c r="AP80" s="648"/>
      <c r="AQ80" s="648"/>
      <c r="AR80" s="648"/>
      <c r="AS80" s="648">
        <v>5</v>
      </c>
      <c r="AT80" s="648"/>
      <c r="AU80" s="648"/>
      <c r="AV80" s="648"/>
      <c r="AW80" s="648">
        <v>6</v>
      </c>
      <c r="AX80" s="648"/>
      <c r="AY80" s="648"/>
      <c r="AZ80" s="648"/>
      <c r="BA80" s="648">
        <v>7</v>
      </c>
      <c r="BB80" s="648"/>
      <c r="BC80" s="648"/>
      <c r="BD80" s="648"/>
      <c r="BE80" s="648">
        <v>8</v>
      </c>
      <c r="BF80" s="648"/>
      <c r="BG80" s="648"/>
      <c r="BH80" s="648"/>
    </row>
    <row r="81" s="633" customFormat="1" ht="15.95" customHeight="1" spans="1:60">
      <c r="A81" s="803" t="s">
        <v>1128</v>
      </c>
      <c r="B81" s="724"/>
      <c r="C81" s="724"/>
      <c r="D81" s="724"/>
      <c r="E81" s="724"/>
      <c r="F81" s="724"/>
      <c r="G81" s="740"/>
      <c r="H81" s="809"/>
      <c r="I81" s="809"/>
      <c r="J81" s="809"/>
      <c r="K81" s="809"/>
      <c r="L81" s="809"/>
      <c r="M81" s="809"/>
      <c r="N81" s="809"/>
      <c r="O81" s="809"/>
      <c r="P81" s="809"/>
      <c r="Q81" s="804" t="s">
        <v>894</v>
      </c>
      <c r="R81" s="805"/>
      <c r="S81" s="805"/>
      <c r="T81" s="806"/>
      <c r="U81" s="648" t="s">
        <v>755</v>
      </c>
      <c r="V81" s="648"/>
      <c r="W81" s="648"/>
      <c r="X81" s="648"/>
      <c r="Y81" s="804"/>
      <c r="Z81" s="805"/>
      <c r="AA81" s="805"/>
      <c r="AB81" s="806"/>
      <c r="AC81" s="809"/>
      <c r="AD81" s="809"/>
      <c r="AE81" s="809"/>
      <c r="AF81" s="809"/>
      <c r="AG81" s="809"/>
      <c r="AH81" s="809"/>
      <c r="AI81" s="809"/>
      <c r="AJ81" s="809"/>
      <c r="AK81" s="809"/>
      <c r="AL81" s="809"/>
      <c r="AM81" s="809"/>
      <c r="AN81" s="809"/>
      <c r="AO81" s="809"/>
      <c r="AP81" s="809"/>
      <c r="AQ81" s="809"/>
      <c r="AR81" s="809"/>
      <c r="AS81" s="809"/>
      <c r="AT81" s="809"/>
      <c r="AU81" s="809"/>
      <c r="AV81" s="809"/>
      <c r="AW81" s="809"/>
      <c r="AX81" s="809"/>
      <c r="AY81" s="809"/>
      <c r="AZ81" s="809"/>
      <c r="BA81" s="809"/>
      <c r="BB81" s="809"/>
      <c r="BC81" s="809"/>
      <c r="BD81" s="809"/>
      <c r="BE81" s="809"/>
      <c r="BF81" s="809"/>
      <c r="BG81" s="809"/>
      <c r="BH81" s="809"/>
    </row>
    <row r="82" s="633" customFormat="1" ht="15.95" customHeight="1" spans="1:60">
      <c r="A82" s="803" t="s">
        <v>1129</v>
      </c>
      <c r="B82" s="724"/>
      <c r="C82" s="724"/>
      <c r="D82" s="724"/>
      <c r="E82" s="724"/>
      <c r="F82" s="724"/>
      <c r="G82" s="740"/>
      <c r="H82" s="809"/>
      <c r="I82" s="809"/>
      <c r="J82" s="809"/>
      <c r="K82" s="809"/>
      <c r="L82" s="809"/>
      <c r="M82" s="809"/>
      <c r="N82" s="809"/>
      <c r="O82" s="809"/>
      <c r="P82" s="809"/>
      <c r="Q82" s="804" t="s">
        <v>894</v>
      </c>
      <c r="R82" s="805"/>
      <c r="S82" s="805"/>
      <c r="T82" s="806"/>
      <c r="U82" s="648" t="s">
        <v>757</v>
      </c>
      <c r="V82" s="648"/>
      <c r="W82" s="648"/>
      <c r="X82" s="648"/>
      <c r="Y82" s="804"/>
      <c r="Z82" s="805"/>
      <c r="AA82" s="805"/>
      <c r="AB82" s="806"/>
      <c r="AC82" s="809"/>
      <c r="AD82" s="809"/>
      <c r="AE82" s="809"/>
      <c r="AF82" s="809"/>
      <c r="AG82" s="809"/>
      <c r="AH82" s="809"/>
      <c r="AI82" s="809"/>
      <c r="AJ82" s="809"/>
      <c r="AK82" s="809"/>
      <c r="AL82" s="809"/>
      <c r="AM82" s="809"/>
      <c r="AN82" s="809"/>
      <c r="AO82" s="809"/>
      <c r="AP82" s="809"/>
      <c r="AQ82" s="809"/>
      <c r="AR82" s="809"/>
      <c r="AS82" s="809"/>
      <c r="AT82" s="809"/>
      <c r="AU82" s="809"/>
      <c r="AV82" s="809"/>
      <c r="AW82" s="809"/>
      <c r="AX82" s="809"/>
      <c r="AY82" s="809"/>
      <c r="AZ82" s="809"/>
      <c r="BA82" s="809"/>
      <c r="BB82" s="809"/>
      <c r="BC82" s="809"/>
      <c r="BD82" s="809"/>
      <c r="BE82" s="809"/>
      <c r="BF82" s="809"/>
      <c r="BG82" s="809"/>
      <c r="BH82" s="809"/>
    </row>
    <row r="83" s="633" customFormat="1" ht="15.95" customHeight="1" spans="1:60">
      <c r="A83" s="803" t="s">
        <v>1130</v>
      </c>
      <c r="B83" s="724"/>
      <c r="C83" s="724"/>
      <c r="D83" s="724"/>
      <c r="E83" s="724"/>
      <c r="F83" s="724"/>
      <c r="G83" s="740"/>
      <c r="H83" s="809"/>
      <c r="I83" s="809"/>
      <c r="J83" s="809"/>
      <c r="K83" s="809"/>
      <c r="L83" s="809"/>
      <c r="M83" s="809"/>
      <c r="N83" s="809"/>
      <c r="O83" s="809"/>
      <c r="P83" s="809"/>
      <c r="Q83" s="804" t="s">
        <v>894</v>
      </c>
      <c r="R83" s="805"/>
      <c r="S83" s="805"/>
      <c r="T83" s="806"/>
      <c r="U83" s="648" t="s">
        <v>759</v>
      </c>
      <c r="V83" s="648"/>
      <c r="W83" s="648"/>
      <c r="X83" s="648"/>
      <c r="Y83" s="804"/>
      <c r="Z83" s="805"/>
      <c r="AA83" s="805"/>
      <c r="AB83" s="806"/>
      <c r="AC83" s="809"/>
      <c r="AD83" s="809"/>
      <c r="AE83" s="809"/>
      <c r="AF83" s="809"/>
      <c r="AG83" s="809"/>
      <c r="AH83" s="809"/>
      <c r="AI83" s="809"/>
      <c r="AJ83" s="809"/>
      <c r="AK83" s="809"/>
      <c r="AL83" s="809"/>
      <c r="AM83" s="809"/>
      <c r="AN83" s="809"/>
      <c r="AO83" s="809"/>
      <c r="AP83" s="809"/>
      <c r="AQ83" s="809"/>
      <c r="AR83" s="809"/>
      <c r="AS83" s="809"/>
      <c r="AT83" s="809"/>
      <c r="AU83" s="809"/>
      <c r="AV83" s="809"/>
      <c r="AW83" s="809"/>
      <c r="AX83" s="809"/>
      <c r="AY83" s="809"/>
      <c r="AZ83" s="809"/>
      <c r="BA83" s="809"/>
      <c r="BB83" s="809"/>
      <c r="BC83" s="809"/>
      <c r="BD83" s="809"/>
      <c r="BE83" s="809"/>
      <c r="BF83" s="809"/>
      <c r="BG83" s="809"/>
      <c r="BH83" s="809"/>
    </row>
    <row r="84" s="633" customFormat="1" ht="15.95" customHeight="1" spans="1:60">
      <c r="A84" s="803" t="s">
        <v>1131</v>
      </c>
      <c r="B84" s="724"/>
      <c r="C84" s="724"/>
      <c r="D84" s="724"/>
      <c r="E84" s="724"/>
      <c r="F84" s="724"/>
      <c r="G84" s="740"/>
      <c r="H84" s="810"/>
      <c r="I84" s="836"/>
      <c r="J84" s="836"/>
      <c r="K84" s="836"/>
      <c r="L84" s="836"/>
      <c r="M84" s="836"/>
      <c r="N84" s="836"/>
      <c r="O84" s="836"/>
      <c r="P84" s="836"/>
      <c r="Q84" s="836"/>
      <c r="R84" s="836"/>
      <c r="S84" s="836"/>
      <c r="T84" s="846"/>
      <c r="U84" s="809" t="s">
        <v>1132</v>
      </c>
      <c r="V84" s="809"/>
      <c r="W84" s="809"/>
      <c r="X84" s="809"/>
      <c r="Y84" s="809"/>
      <c r="Z84" s="809"/>
      <c r="AA84" s="809"/>
      <c r="AB84" s="809"/>
      <c r="AC84" s="809"/>
      <c r="AD84" s="809"/>
      <c r="AE84" s="809"/>
      <c r="AF84" s="809"/>
      <c r="AG84" s="809"/>
      <c r="AH84" s="809"/>
      <c r="AI84" s="809"/>
      <c r="AJ84" s="809"/>
      <c r="AK84" s="809"/>
      <c r="AL84" s="809"/>
      <c r="AM84" s="809"/>
      <c r="AN84" s="809"/>
      <c r="AO84" s="809"/>
      <c r="AP84" s="809"/>
      <c r="AQ84" s="809"/>
      <c r="AR84" s="809"/>
      <c r="AS84" s="809"/>
      <c r="AT84" s="809"/>
      <c r="AU84" s="809"/>
      <c r="AV84" s="809"/>
      <c r="AW84" s="809"/>
      <c r="AX84" s="809"/>
      <c r="AY84" s="809"/>
      <c r="AZ84" s="809"/>
      <c r="BA84" s="809"/>
      <c r="BB84" s="809"/>
      <c r="BC84" s="809"/>
      <c r="BD84" s="809"/>
      <c r="BE84" s="809"/>
      <c r="BF84" s="809"/>
      <c r="BG84" s="809"/>
      <c r="BH84" s="809"/>
    </row>
    <row r="85" ht="15.95" customHeight="1" spans="1:60">
      <c r="A85" s="803" t="s">
        <v>807</v>
      </c>
      <c r="B85" s="724"/>
      <c r="C85" s="724"/>
      <c r="D85" s="724"/>
      <c r="E85" s="724"/>
      <c r="F85" s="724"/>
      <c r="G85" s="740"/>
      <c r="H85" s="809"/>
      <c r="I85" s="809"/>
      <c r="J85" s="809"/>
      <c r="K85" s="809"/>
      <c r="L85" s="809"/>
      <c r="M85" s="809"/>
      <c r="N85" s="809"/>
      <c r="O85" s="809"/>
      <c r="P85" s="809"/>
      <c r="Q85" s="804" t="s">
        <v>1133</v>
      </c>
      <c r="R85" s="805"/>
      <c r="S85" s="805"/>
      <c r="T85" s="806"/>
      <c r="U85" s="809"/>
      <c r="V85" s="809"/>
      <c r="W85" s="809"/>
      <c r="X85" s="809"/>
      <c r="Y85" s="648" t="s">
        <v>565</v>
      </c>
      <c r="Z85" s="648"/>
      <c r="AA85" s="648"/>
      <c r="AB85" s="648"/>
      <c r="AC85" s="648">
        <v>1</v>
      </c>
      <c r="AD85" s="648"/>
      <c r="AE85" s="648"/>
      <c r="AF85" s="648"/>
      <c r="AG85" s="648">
        <v>2</v>
      </c>
      <c r="AH85" s="648"/>
      <c r="AI85" s="648"/>
      <c r="AJ85" s="648"/>
      <c r="AK85" s="648">
        <v>3</v>
      </c>
      <c r="AL85" s="648"/>
      <c r="AM85" s="648"/>
      <c r="AN85" s="648"/>
      <c r="AO85" s="648">
        <v>4</v>
      </c>
      <c r="AP85" s="648"/>
      <c r="AQ85" s="648"/>
      <c r="AR85" s="648"/>
      <c r="AS85" s="648">
        <v>5</v>
      </c>
      <c r="AT85" s="648"/>
      <c r="AU85" s="648"/>
      <c r="AV85" s="648"/>
      <c r="AW85" s="648">
        <v>6</v>
      </c>
      <c r="AX85" s="648"/>
      <c r="AY85" s="648"/>
      <c r="AZ85" s="648"/>
      <c r="BA85" s="648">
        <v>7</v>
      </c>
      <c r="BB85" s="648"/>
      <c r="BC85" s="648"/>
      <c r="BD85" s="648"/>
      <c r="BE85" s="648">
        <v>8</v>
      </c>
      <c r="BF85" s="648"/>
      <c r="BG85" s="648"/>
      <c r="BH85" s="648"/>
    </row>
    <row r="86" ht="15.95" customHeight="1" spans="1:60">
      <c r="A86" s="803" t="s">
        <v>513</v>
      </c>
      <c r="B86" s="724"/>
      <c r="C86" s="724"/>
      <c r="D86" s="724"/>
      <c r="E86" s="724"/>
      <c r="F86" s="724"/>
      <c r="G86" s="740"/>
      <c r="H86" s="809"/>
      <c r="I86" s="809"/>
      <c r="J86" s="809"/>
      <c r="K86" s="809"/>
      <c r="L86" s="809"/>
      <c r="M86" s="809"/>
      <c r="N86" s="809"/>
      <c r="O86" s="809"/>
      <c r="P86" s="809"/>
      <c r="Q86" s="804" t="s">
        <v>900</v>
      </c>
      <c r="R86" s="805"/>
      <c r="S86" s="805"/>
      <c r="T86" s="806"/>
      <c r="U86" s="648" t="s">
        <v>755</v>
      </c>
      <c r="V86" s="648"/>
      <c r="W86" s="648"/>
      <c r="X86" s="648"/>
      <c r="Y86" s="804"/>
      <c r="Z86" s="805"/>
      <c r="AA86" s="805"/>
      <c r="AB86" s="806"/>
      <c r="AC86" s="809"/>
      <c r="AD86" s="809"/>
      <c r="AE86" s="809"/>
      <c r="AF86" s="809"/>
      <c r="AG86" s="809"/>
      <c r="AH86" s="809"/>
      <c r="AI86" s="809"/>
      <c r="AJ86" s="809"/>
      <c r="AK86" s="809"/>
      <c r="AL86" s="809"/>
      <c r="AM86" s="809"/>
      <c r="AN86" s="809"/>
      <c r="AO86" s="809"/>
      <c r="AP86" s="809"/>
      <c r="AQ86" s="809"/>
      <c r="AR86" s="809"/>
      <c r="AS86" s="809"/>
      <c r="AT86" s="809"/>
      <c r="AU86" s="809"/>
      <c r="AV86" s="809"/>
      <c r="AW86" s="809"/>
      <c r="AX86" s="809"/>
      <c r="AY86" s="809"/>
      <c r="AZ86" s="809"/>
      <c r="BA86" s="809"/>
      <c r="BB86" s="809"/>
      <c r="BC86" s="809"/>
      <c r="BD86" s="809"/>
      <c r="BE86" s="809"/>
      <c r="BF86" s="809"/>
      <c r="BG86" s="809"/>
      <c r="BH86" s="809"/>
    </row>
    <row r="87" ht="15.95" customHeight="1" spans="1:60">
      <c r="A87" s="803" t="s">
        <v>1134</v>
      </c>
      <c r="B87" s="724"/>
      <c r="C87" s="724"/>
      <c r="D87" s="724"/>
      <c r="E87" s="724"/>
      <c r="F87" s="724"/>
      <c r="G87" s="740"/>
      <c r="H87" s="809" t="s">
        <v>1135</v>
      </c>
      <c r="I87" s="809"/>
      <c r="J87" s="837"/>
      <c r="K87" s="837"/>
      <c r="L87" s="837"/>
      <c r="M87" s="809" t="s">
        <v>1136</v>
      </c>
      <c r="N87" s="809"/>
      <c r="O87" s="837"/>
      <c r="P87" s="837"/>
      <c r="Q87" s="837"/>
      <c r="R87" s="648"/>
      <c r="S87" s="648"/>
      <c r="T87" s="648"/>
      <c r="U87" s="648" t="s">
        <v>757</v>
      </c>
      <c r="V87" s="648"/>
      <c r="W87" s="648"/>
      <c r="X87" s="648"/>
      <c r="Y87" s="804"/>
      <c r="Z87" s="805"/>
      <c r="AA87" s="805"/>
      <c r="AB87" s="806"/>
      <c r="AC87" s="809"/>
      <c r="AD87" s="809"/>
      <c r="AE87" s="809"/>
      <c r="AF87" s="809"/>
      <c r="AG87" s="809"/>
      <c r="AH87" s="809"/>
      <c r="AI87" s="809"/>
      <c r="AJ87" s="809"/>
      <c r="AK87" s="809"/>
      <c r="AL87" s="809"/>
      <c r="AM87" s="809"/>
      <c r="AN87" s="809"/>
      <c r="AO87" s="809"/>
      <c r="AP87" s="809"/>
      <c r="AQ87" s="809"/>
      <c r="AR87" s="809"/>
      <c r="AS87" s="809"/>
      <c r="AT87" s="809"/>
      <c r="AU87" s="809"/>
      <c r="AV87" s="809"/>
      <c r="AW87" s="809"/>
      <c r="AX87" s="809"/>
      <c r="AY87" s="809"/>
      <c r="AZ87" s="809"/>
      <c r="BA87" s="809"/>
      <c r="BB87" s="809"/>
      <c r="BC87" s="809"/>
      <c r="BD87" s="809"/>
      <c r="BE87" s="809"/>
      <c r="BF87" s="809"/>
      <c r="BG87" s="809"/>
      <c r="BH87" s="809"/>
    </row>
    <row r="88" ht="15.95" customHeight="1" spans="1:60">
      <c r="A88" s="803" t="s">
        <v>1137</v>
      </c>
      <c r="B88" s="724"/>
      <c r="C88" s="724"/>
      <c r="D88" s="724"/>
      <c r="E88" s="724"/>
      <c r="F88" s="724"/>
      <c r="G88" s="740"/>
      <c r="H88" s="809"/>
      <c r="I88" s="809"/>
      <c r="J88" s="809"/>
      <c r="K88" s="809"/>
      <c r="L88" s="809"/>
      <c r="M88" s="809"/>
      <c r="N88" s="809"/>
      <c r="O88" s="809"/>
      <c r="P88" s="809"/>
      <c r="Q88" s="696"/>
      <c r="R88" s="696"/>
      <c r="S88" s="696"/>
      <c r="T88" s="696"/>
      <c r="U88" s="648" t="s">
        <v>759</v>
      </c>
      <c r="V88" s="648"/>
      <c r="W88" s="648"/>
      <c r="X88" s="648"/>
      <c r="Y88" s="804"/>
      <c r="Z88" s="805"/>
      <c r="AA88" s="805"/>
      <c r="AB88" s="806"/>
      <c r="AC88" s="809"/>
      <c r="AD88" s="809"/>
      <c r="AE88" s="809"/>
      <c r="AF88" s="809"/>
      <c r="AG88" s="809"/>
      <c r="AH88" s="809"/>
      <c r="AI88" s="809"/>
      <c r="AJ88" s="809"/>
      <c r="AK88" s="809"/>
      <c r="AL88" s="809"/>
      <c r="AM88" s="809"/>
      <c r="AN88" s="809"/>
      <c r="AO88" s="809"/>
      <c r="AP88" s="809"/>
      <c r="AQ88" s="809"/>
      <c r="AR88" s="809"/>
      <c r="AS88" s="809"/>
      <c r="AT88" s="809"/>
      <c r="AU88" s="809"/>
      <c r="AV88" s="809"/>
      <c r="AW88" s="809"/>
      <c r="AX88" s="809"/>
      <c r="AY88" s="809"/>
      <c r="AZ88" s="809"/>
      <c r="BA88" s="809"/>
      <c r="BB88" s="809"/>
      <c r="BC88" s="809"/>
      <c r="BD88" s="809"/>
      <c r="BE88" s="809"/>
      <c r="BF88" s="809"/>
      <c r="BG88" s="809"/>
      <c r="BH88" s="809"/>
    </row>
    <row r="89" ht="15.95" customHeight="1" spans="1:60">
      <c r="A89" s="803" t="s">
        <v>1138</v>
      </c>
      <c r="B89" s="724"/>
      <c r="C89" s="724"/>
      <c r="D89" s="724"/>
      <c r="E89" s="724"/>
      <c r="F89" s="724"/>
      <c r="G89" s="740"/>
      <c r="H89" s="809"/>
      <c r="I89" s="809"/>
      <c r="J89" s="809"/>
      <c r="K89" s="809"/>
      <c r="L89" s="809"/>
      <c r="M89" s="809"/>
      <c r="N89" s="809"/>
      <c r="O89" s="809"/>
      <c r="P89" s="809"/>
      <c r="Q89" s="696"/>
      <c r="R89" s="696"/>
      <c r="S89" s="696"/>
      <c r="T89" s="696"/>
      <c r="U89" s="807"/>
      <c r="V89" s="811"/>
      <c r="W89" s="811"/>
      <c r="X89" s="811"/>
      <c r="Y89" s="811"/>
      <c r="Z89" s="811"/>
      <c r="AA89" s="811"/>
      <c r="AB89" s="811"/>
      <c r="AC89" s="811"/>
      <c r="AD89" s="811"/>
      <c r="AE89" s="811"/>
      <c r="AF89" s="811"/>
      <c r="AG89" s="811"/>
      <c r="AH89" s="811"/>
      <c r="AI89" s="811"/>
      <c r="AJ89" s="811"/>
      <c r="AK89" s="811"/>
      <c r="AL89" s="811"/>
      <c r="AM89" s="811"/>
      <c r="AN89" s="811"/>
      <c r="AO89" s="811"/>
      <c r="AP89" s="811"/>
      <c r="AQ89" s="811"/>
      <c r="AR89" s="811"/>
      <c r="AS89" s="811"/>
      <c r="AT89" s="811"/>
      <c r="AU89" s="811"/>
      <c r="AV89" s="811"/>
      <c r="AW89" s="811"/>
      <c r="AX89" s="811"/>
      <c r="AY89" s="811"/>
      <c r="AZ89" s="811"/>
      <c r="BA89" s="811"/>
      <c r="BB89" s="811"/>
      <c r="BC89" s="811"/>
      <c r="BD89" s="811"/>
      <c r="BE89" s="811"/>
      <c r="BF89" s="811"/>
      <c r="BG89" s="811"/>
      <c r="BH89" s="811"/>
    </row>
    <row r="90" ht="15.95" customHeight="1" spans="1:60">
      <c r="A90" s="808" t="s">
        <v>1139</v>
      </c>
      <c r="B90" s="808"/>
      <c r="C90" s="808"/>
      <c r="D90" s="808"/>
      <c r="E90" s="808"/>
      <c r="F90" s="808"/>
      <c r="G90" s="808"/>
      <c r="H90" s="808"/>
      <c r="I90" s="808"/>
      <c r="J90" s="808"/>
      <c r="K90" s="808"/>
      <c r="L90" s="808"/>
      <c r="M90" s="808"/>
      <c r="N90" s="808"/>
      <c r="O90" s="808"/>
      <c r="P90" s="808"/>
      <c r="Q90" s="808"/>
      <c r="R90" s="808"/>
      <c r="S90" s="808"/>
      <c r="T90" s="808"/>
      <c r="U90" s="808"/>
      <c r="V90" s="808"/>
      <c r="W90" s="808"/>
      <c r="X90" s="808"/>
      <c r="Y90" s="808"/>
      <c r="Z90" s="808"/>
      <c r="AA90" s="808"/>
      <c r="AB90" s="808"/>
      <c r="AC90" s="808"/>
      <c r="AD90" s="808"/>
      <c r="AE90" s="808"/>
      <c r="AF90" s="808"/>
      <c r="AG90" s="808"/>
      <c r="AH90" s="808"/>
      <c r="AI90" s="808"/>
      <c r="AJ90" s="808"/>
      <c r="AK90" s="808"/>
      <c r="AL90" s="808"/>
      <c r="AM90" s="808"/>
      <c r="AN90" s="808"/>
      <c r="AO90" s="808"/>
      <c r="AP90" s="808"/>
      <c r="AQ90" s="808"/>
      <c r="AR90" s="808"/>
      <c r="AS90" s="808"/>
      <c r="AT90" s="808"/>
      <c r="AU90" s="808"/>
      <c r="AV90" s="808"/>
      <c r="AW90" s="808"/>
      <c r="AX90" s="808"/>
      <c r="AY90" s="808"/>
      <c r="AZ90" s="808"/>
      <c r="BA90" s="808"/>
      <c r="BB90" s="808"/>
      <c r="BC90" s="808"/>
      <c r="BD90" s="808"/>
      <c r="BE90" s="808"/>
      <c r="BF90" s="808"/>
      <c r="BG90" s="808"/>
      <c r="BH90" s="808"/>
    </row>
    <row r="91" ht="15.95" customHeight="1" spans="1:60">
      <c r="A91" s="803" t="s">
        <v>769</v>
      </c>
      <c r="B91" s="724"/>
      <c r="C91" s="724"/>
      <c r="D91" s="724"/>
      <c r="E91" s="724"/>
      <c r="F91" s="724"/>
      <c r="G91" s="740"/>
      <c r="H91" s="809"/>
      <c r="I91" s="809"/>
      <c r="J91" s="809"/>
      <c r="K91" s="809"/>
      <c r="L91" s="809"/>
      <c r="M91" s="809"/>
      <c r="N91" s="809"/>
      <c r="O91" s="809"/>
      <c r="P91" s="809"/>
      <c r="Q91" s="804" t="s">
        <v>1140</v>
      </c>
      <c r="R91" s="805"/>
      <c r="S91" s="805"/>
      <c r="T91" s="806"/>
      <c r="U91" s="809" t="s">
        <v>1141</v>
      </c>
      <c r="V91" s="809"/>
      <c r="W91" s="809"/>
      <c r="X91" s="809"/>
      <c r="Y91" s="809"/>
      <c r="Z91" s="809"/>
      <c r="AA91" s="809"/>
      <c r="AB91" s="809"/>
      <c r="AC91" s="809"/>
      <c r="AD91" s="809"/>
      <c r="AE91" s="809"/>
      <c r="AF91" s="809"/>
      <c r="AG91" s="809"/>
      <c r="AH91" s="809"/>
      <c r="AI91" s="809"/>
      <c r="AJ91" s="809"/>
      <c r="AK91" s="809"/>
      <c r="AL91" s="809"/>
      <c r="AM91" s="809"/>
      <c r="AN91" s="809"/>
      <c r="AO91" s="809"/>
      <c r="AP91" s="809"/>
      <c r="AQ91" s="809"/>
      <c r="AR91" s="809"/>
      <c r="AS91" s="809"/>
      <c r="AT91" s="809"/>
      <c r="AU91" s="809"/>
      <c r="AV91" s="809"/>
      <c r="AW91" s="809"/>
      <c r="AX91" s="809"/>
      <c r="AY91" s="809"/>
      <c r="AZ91" s="809"/>
      <c r="BA91" s="809"/>
      <c r="BB91" s="809"/>
      <c r="BC91" s="809"/>
      <c r="BD91" s="809"/>
      <c r="BE91" s="809"/>
      <c r="BF91" s="809"/>
      <c r="BG91" s="809"/>
      <c r="BH91" s="809"/>
    </row>
    <row r="92" ht="15.95" customHeight="1" spans="1:60">
      <c r="A92" s="803" t="s">
        <v>1142</v>
      </c>
      <c r="B92" s="724"/>
      <c r="C92" s="724"/>
      <c r="D92" s="724"/>
      <c r="E92" s="724"/>
      <c r="F92" s="724"/>
      <c r="G92" s="740"/>
      <c r="H92" s="809" t="s">
        <v>1143</v>
      </c>
      <c r="I92" s="809"/>
      <c r="J92" s="837"/>
      <c r="K92" s="837"/>
      <c r="L92" s="837"/>
      <c r="M92" s="809" t="s">
        <v>1144</v>
      </c>
      <c r="N92" s="809"/>
      <c r="O92" s="837"/>
      <c r="P92" s="837"/>
      <c r="Q92" s="837"/>
      <c r="R92" s="648"/>
      <c r="S92" s="648"/>
      <c r="T92" s="648"/>
      <c r="U92" s="809"/>
      <c r="V92" s="809"/>
      <c r="W92" s="809"/>
      <c r="X92" s="809"/>
      <c r="Y92" s="648" t="s">
        <v>565</v>
      </c>
      <c r="Z92" s="648"/>
      <c r="AA92" s="648"/>
      <c r="AB92" s="648"/>
      <c r="AC92" s="648">
        <v>1</v>
      </c>
      <c r="AD92" s="648"/>
      <c r="AE92" s="648"/>
      <c r="AF92" s="648"/>
      <c r="AG92" s="648">
        <v>2</v>
      </c>
      <c r="AH92" s="648"/>
      <c r="AI92" s="648"/>
      <c r="AJ92" s="648"/>
      <c r="AK92" s="648">
        <v>3</v>
      </c>
      <c r="AL92" s="648"/>
      <c r="AM92" s="648"/>
      <c r="AN92" s="648"/>
      <c r="AO92" s="648">
        <v>4</v>
      </c>
      <c r="AP92" s="648"/>
      <c r="AQ92" s="648"/>
      <c r="AR92" s="648"/>
      <c r="AS92" s="648">
        <v>5</v>
      </c>
      <c r="AT92" s="648"/>
      <c r="AU92" s="648"/>
      <c r="AV92" s="648"/>
      <c r="AW92" s="648">
        <v>6</v>
      </c>
      <c r="AX92" s="648"/>
      <c r="AY92" s="648"/>
      <c r="AZ92" s="648"/>
      <c r="BA92" s="648">
        <v>7</v>
      </c>
      <c r="BB92" s="648"/>
      <c r="BC92" s="648"/>
      <c r="BD92" s="648"/>
      <c r="BE92" s="648">
        <v>8</v>
      </c>
      <c r="BF92" s="648"/>
      <c r="BG92" s="648"/>
      <c r="BH92" s="648"/>
    </row>
    <row r="93" ht="15.95" customHeight="1" spans="1:60">
      <c r="A93" s="803" t="s">
        <v>1145</v>
      </c>
      <c r="B93" s="724"/>
      <c r="C93" s="724"/>
      <c r="D93" s="724"/>
      <c r="E93" s="724"/>
      <c r="F93" s="724"/>
      <c r="G93" s="740"/>
      <c r="H93" s="809" t="s">
        <v>1143</v>
      </c>
      <c r="I93" s="809"/>
      <c r="J93" s="837"/>
      <c r="K93" s="837"/>
      <c r="L93" s="837"/>
      <c r="M93" s="809" t="s">
        <v>1144</v>
      </c>
      <c r="N93" s="809"/>
      <c r="O93" s="837"/>
      <c r="P93" s="837"/>
      <c r="Q93" s="837"/>
      <c r="R93" s="648"/>
      <c r="S93" s="648"/>
      <c r="T93" s="648"/>
      <c r="U93" s="648" t="s">
        <v>755</v>
      </c>
      <c r="V93" s="648"/>
      <c r="W93" s="648"/>
      <c r="X93" s="648"/>
      <c r="Y93" s="804"/>
      <c r="Z93" s="805"/>
      <c r="AA93" s="805"/>
      <c r="AB93" s="806"/>
      <c r="AC93" s="809"/>
      <c r="AD93" s="809"/>
      <c r="AE93" s="809"/>
      <c r="AF93" s="809"/>
      <c r="AG93" s="809"/>
      <c r="AH93" s="809"/>
      <c r="AI93" s="809"/>
      <c r="AJ93" s="809"/>
      <c r="AK93" s="809"/>
      <c r="AL93" s="809"/>
      <c r="AM93" s="809"/>
      <c r="AN93" s="809"/>
      <c r="AO93" s="809"/>
      <c r="AP93" s="809"/>
      <c r="AQ93" s="809"/>
      <c r="AR93" s="809"/>
      <c r="AS93" s="809"/>
      <c r="AT93" s="809"/>
      <c r="AU93" s="809"/>
      <c r="AV93" s="809"/>
      <c r="AW93" s="809"/>
      <c r="AX93" s="809"/>
      <c r="AY93" s="809"/>
      <c r="AZ93" s="809"/>
      <c r="BA93" s="809"/>
      <c r="BB93" s="809"/>
      <c r="BC93" s="809"/>
      <c r="BD93" s="809"/>
      <c r="BE93" s="809"/>
      <c r="BF93" s="809"/>
      <c r="BG93" s="809"/>
      <c r="BH93" s="809"/>
    </row>
    <row r="94" ht="15.95" customHeight="1" spans="1:60">
      <c r="A94" s="803" t="s">
        <v>810</v>
      </c>
      <c r="B94" s="724"/>
      <c r="C94" s="724"/>
      <c r="D94" s="724"/>
      <c r="E94" s="724"/>
      <c r="F94" s="724"/>
      <c r="G94" s="740"/>
      <c r="H94" s="741"/>
      <c r="I94" s="742"/>
      <c r="J94" s="742"/>
      <c r="K94" s="742"/>
      <c r="L94" s="742"/>
      <c r="M94" s="742"/>
      <c r="N94" s="742"/>
      <c r="O94" s="742"/>
      <c r="P94" s="742"/>
      <c r="Q94" s="742"/>
      <c r="R94" s="742"/>
      <c r="S94" s="742"/>
      <c r="T94" s="748"/>
      <c r="U94" s="648" t="s">
        <v>757</v>
      </c>
      <c r="V94" s="648"/>
      <c r="W94" s="648"/>
      <c r="X94" s="648"/>
      <c r="Y94" s="804"/>
      <c r="Z94" s="805"/>
      <c r="AA94" s="805"/>
      <c r="AB94" s="806"/>
      <c r="AC94" s="809"/>
      <c r="AD94" s="809"/>
      <c r="AE94" s="809"/>
      <c r="AF94" s="809"/>
      <c r="AG94" s="809"/>
      <c r="AH94" s="809"/>
      <c r="AI94" s="809"/>
      <c r="AJ94" s="809"/>
      <c r="AK94" s="809"/>
      <c r="AL94" s="809"/>
      <c r="AM94" s="809"/>
      <c r="AN94" s="809"/>
      <c r="AO94" s="809"/>
      <c r="AP94" s="809"/>
      <c r="AQ94" s="809"/>
      <c r="AR94" s="809"/>
      <c r="AS94" s="809"/>
      <c r="AT94" s="809"/>
      <c r="AU94" s="809"/>
      <c r="AV94" s="809"/>
      <c r="AW94" s="809"/>
      <c r="AX94" s="809"/>
      <c r="AY94" s="809"/>
      <c r="AZ94" s="809"/>
      <c r="BA94" s="809"/>
      <c r="BB94" s="809"/>
      <c r="BC94" s="809"/>
      <c r="BD94" s="809"/>
      <c r="BE94" s="809"/>
      <c r="BF94" s="809"/>
      <c r="BG94" s="809"/>
      <c r="BH94" s="809"/>
    </row>
    <row r="95" ht="15.95" customHeight="1" spans="1:60">
      <c r="A95" s="803" t="s">
        <v>1146</v>
      </c>
      <c r="B95" s="724"/>
      <c r="C95" s="724"/>
      <c r="D95" s="724"/>
      <c r="E95" s="724"/>
      <c r="F95" s="724"/>
      <c r="G95" s="740"/>
      <c r="H95" s="809"/>
      <c r="I95" s="809"/>
      <c r="J95" s="809"/>
      <c r="K95" s="809"/>
      <c r="L95" s="809"/>
      <c r="M95" s="809"/>
      <c r="N95" s="809"/>
      <c r="O95" s="809"/>
      <c r="P95" s="809"/>
      <c r="Q95" s="804" t="s">
        <v>894</v>
      </c>
      <c r="R95" s="805"/>
      <c r="S95" s="805"/>
      <c r="T95" s="806"/>
      <c r="U95" s="648" t="s">
        <v>759</v>
      </c>
      <c r="V95" s="648"/>
      <c r="W95" s="648"/>
      <c r="X95" s="648"/>
      <c r="Y95" s="804"/>
      <c r="Z95" s="805"/>
      <c r="AA95" s="805"/>
      <c r="AB95" s="806"/>
      <c r="AC95" s="809"/>
      <c r="AD95" s="809"/>
      <c r="AE95" s="809"/>
      <c r="AF95" s="809"/>
      <c r="AG95" s="809"/>
      <c r="AH95" s="809"/>
      <c r="AI95" s="809"/>
      <c r="AJ95" s="809"/>
      <c r="AK95" s="809"/>
      <c r="AL95" s="809"/>
      <c r="AM95" s="809"/>
      <c r="AN95" s="809"/>
      <c r="AO95" s="809"/>
      <c r="AP95" s="809"/>
      <c r="AQ95" s="809"/>
      <c r="AR95" s="809"/>
      <c r="AS95" s="809"/>
      <c r="AT95" s="809"/>
      <c r="AU95" s="809"/>
      <c r="AV95" s="809"/>
      <c r="AW95" s="809"/>
      <c r="AX95" s="809"/>
      <c r="AY95" s="809"/>
      <c r="AZ95" s="809"/>
      <c r="BA95" s="809"/>
      <c r="BB95" s="809"/>
      <c r="BC95" s="809"/>
      <c r="BD95" s="809"/>
      <c r="BE95" s="809"/>
      <c r="BF95" s="809"/>
      <c r="BG95" s="809"/>
      <c r="BH95" s="809"/>
    </row>
    <row r="96" ht="15.95" customHeight="1" spans="1:60">
      <c r="A96" s="803" t="s">
        <v>1147</v>
      </c>
      <c r="B96" s="724"/>
      <c r="C96" s="724"/>
      <c r="D96" s="724"/>
      <c r="E96" s="724"/>
      <c r="F96" s="724"/>
      <c r="G96" s="740"/>
      <c r="H96" s="809"/>
      <c r="I96" s="809"/>
      <c r="J96" s="809"/>
      <c r="K96" s="809"/>
      <c r="L96" s="809"/>
      <c r="M96" s="809"/>
      <c r="N96" s="809"/>
      <c r="O96" s="809"/>
      <c r="P96" s="809"/>
      <c r="Q96" s="804" t="s">
        <v>905</v>
      </c>
      <c r="R96" s="805"/>
      <c r="S96" s="805"/>
      <c r="T96" s="806"/>
      <c r="U96" s="809" t="s">
        <v>1148</v>
      </c>
      <c r="V96" s="809"/>
      <c r="W96" s="809"/>
      <c r="X96" s="809"/>
      <c r="Y96" s="809"/>
      <c r="Z96" s="809"/>
      <c r="AA96" s="809"/>
      <c r="AB96" s="809"/>
      <c r="AC96" s="809"/>
      <c r="AD96" s="809"/>
      <c r="AE96" s="809"/>
      <c r="AF96" s="809"/>
      <c r="AG96" s="809"/>
      <c r="AH96" s="809"/>
      <c r="AI96" s="809"/>
      <c r="AJ96" s="809"/>
      <c r="AK96" s="809"/>
      <c r="AL96" s="809"/>
      <c r="AM96" s="809"/>
      <c r="AN96" s="809"/>
      <c r="AO96" s="809"/>
      <c r="AP96" s="809"/>
      <c r="AQ96" s="809"/>
      <c r="AR96" s="809"/>
      <c r="AS96" s="809"/>
      <c r="AT96" s="809"/>
      <c r="AU96" s="809"/>
      <c r="AV96" s="809"/>
      <c r="AW96" s="809"/>
      <c r="AX96" s="809"/>
      <c r="AY96" s="809"/>
      <c r="AZ96" s="809"/>
      <c r="BA96" s="809"/>
      <c r="BB96" s="809"/>
      <c r="BC96" s="809"/>
      <c r="BD96" s="809"/>
      <c r="BE96" s="809"/>
      <c r="BF96" s="809"/>
      <c r="BG96" s="809"/>
      <c r="BH96" s="809"/>
    </row>
    <row r="97" ht="15.95" customHeight="1" spans="1:60">
      <c r="A97" s="803" t="s">
        <v>1149</v>
      </c>
      <c r="B97" s="724"/>
      <c r="C97" s="724"/>
      <c r="D97" s="724"/>
      <c r="E97" s="724"/>
      <c r="F97" s="724"/>
      <c r="G97" s="740"/>
      <c r="H97" s="809"/>
      <c r="I97" s="809"/>
      <c r="J97" s="809"/>
      <c r="K97" s="809"/>
      <c r="L97" s="809"/>
      <c r="M97" s="809"/>
      <c r="N97" s="809"/>
      <c r="O97" s="809"/>
      <c r="P97" s="809"/>
      <c r="Q97" s="804" t="s">
        <v>1150</v>
      </c>
      <c r="R97" s="805"/>
      <c r="S97" s="805"/>
      <c r="T97" s="806"/>
      <c r="U97" s="809"/>
      <c r="V97" s="809"/>
      <c r="W97" s="809"/>
      <c r="X97" s="809"/>
      <c r="Y97" s="648" t="s">
        <v>565</v>
      </c>
      <c r="Z97" s="648"/>
      <c r="AA97" s="648"/>
      <c r="AB97" s="648"/>
      <c r="AC97" s="648">
        <v>1</v>
      </c>
      <c r="AD97" s="648"/>
      <c r="AE97" s="648"/>
      <c r="AF97" s="648"/>
      <c r="AG97" s="648">
        <v>2</v>
      </c>
      <c r="AH97" s="648"/>
      <c r="AI97" s="648"/>
      <c r="AJ97" s="648"/>
      <c r="AK97" s="648">
        <v>3</v>
      </c>
      <c r="AL97" s="648"/>
      <c r="AM97" s="648"/>
      <c r="AN97" s="648"/>
      <c r="AO97" s="648">
        <v>4</v>
      </c>
      <c r="AP97" s="648"/>
      <c r="AQ97" s="648"/>
      <c r="AR97" s="648"/>
      <c r="AS97" s="648">
        <v>5</v>
      </c>
      <c r="AT97" s="648"/>
      <c r="AU97" s="648"/>
      <c r="AV97" s="648"/>
      <c r="AW97" s="648">
        <v>6</v>
      </c>
      <c r="AX97" s="648"/>
      <c r="AY97" s="648"/>
      <c r="AZ97" s="648"/>
      <c r="BA97" s="648">
        <v>7</v>
      </c>
      <c r="BB97" s="648"/>
      <c r="BC97" s="648"/>
      <c r="BD97" s="648"/>
      <c r="BE97" s="648">
        <v>8</v>
      </c>
      <c r="BF97" s="648"/>
      <c r="BG97" s="648"/>
      <c r="BH97" s="648"/>
    </row>
    <row r="98" ht="15.95" customHeight="1" spans="1:60">
      <c r="A98" s="803" t="s">
        <v>1151</v>
      </c>
      <c r="B98" s="724"/>
      <c r="C98" s="724"/>
      <c r="D98" s="724"/>
      <c r="E98" s="724"/>
      <c r="F98" s="724"/>
      <c r="G98" s="740"/>
      <c r="H98" s="809"/>
      <c r="I98" s="809"/>
      <c r="J98" s="809"/>
      <c r="K98" s="809"/>
      <c r="L98" s="809"/>
      <c r="M98" s="809"/>
      <c r="N98" s="809"/>
      <c r="O98" s="809"/>
      <c r="P98" s="809"/>
      <c r="Q98" s="804" t="s">
        <v>900</v>
      </c>
      <c r="R98" s="805"/>
      <c r="S98" s="805"/>
      <c r="T98" s="806"/>
      <c r="U98" s="648" t="s">
        <v>755</v>
      </c>
      <c r="V98" s="648"/>
      <c r="W98" s="648"/>
      <c r="X98" s="648"/>
      <c r="Y98" s="804"/>
      <c r="Z98" s="805"/>
      <c r="AA98" s="805"/>
      <c r="AB98" s="806"/>
      <c r="AC98" s="809"/>
      <c r="AD98" s="809"/>
      <c r="AE98" s="809"/>
      <c r="AF98" s="809"/>
      <c r="AG98" s="809"/>
      <c r="AH98" s="809"/>
      <c r="AI98" s="809"/>
      <c r="AJ98" s="809"/>
      <c r="AK98" s="809"/>
      <c r="AL98" s="809"/>
      <c r="AM98" s="809"/>
      <c r="AN98" s="809"/>
      <c r="AO98" s="809"/>
      <c r="AP98" s="809"/>
      <c r="AQ98" s="809"/>
      <c r="AR98" s="809"/>
      <c r="AS98" s="809"/>
      <c r="AT98" s="809"/>
      <c r="AU98" s="809"/>
      <c r="AV98" s="809"/>
      <c r="AW98" s="809"/>
      <c r="AX98" s="809"/>
      <c r="AY98" s="809"/>
      <c r="AZ98" s="809"/>
      <c r="BA98" s="809"/>
      <c r="BB98" s="809"/>
      <c r="BC98" s="809"/>
      <c r="BD98" s="809"/>
      <c r="BE98" s="809"/>
      <c r="BF98" s="809"/>
      <c r="BG98" s="809"/>
      <c r="BH98" s="809"/>
    </row>
    <row r="99" ht="15.95" customHeight="1" spans="1:60">
      <c r="A99" s="803" t="s">
        <v>1152</v>
      </c>
      <c r="B99" s="724"/>
      <c r="C99" s="724"/>
      <c r="D99" s="724"/>
      <c r="E99" s="724"/>
      <c r="F99" s="724"/>
      <c r="G99" s="740"/>
      <c r="H99" s="810"/>
      <c r="I99" s="836"/>
      <c r="J99" s="836"/>
      <c r="K99" s="836"/>
      <c r="L99" s="836"/>
      <c r="M99" s="836"/>
      <c r="N99" s="836"/>
      <c r="O99" s="836"/>
      <c r="P99" s="836"/>
      <c r="Q99" s="836"/>
      <c r="R99" s="836"/>
      <c r="S99" s="836"/>
      <c r="T99" s="846"/>
      <c r="U99" s="648" t="s">
        <v>757</v>
      </c>
      <c r="V99" s="648"/>
      <c r="W99" s="648"/>
      <c r="X99" s="648"/>
      <c r="Y99" s="804"/>
      <c r="Z99" s="805"/>
      <c r="AA99" s="805"/>
      <c r="AB99" s="806"/>
      <c r="AC99" s="809"/>
      <c r="AD99" s="809"/>
      <c r="AE99" s="809"/>
      <c r="AF99" s="809"/>
      <c r="AG99" s="809"/>
      <c r="AH99" s="809"/>
      <c r="AI99" s="809"/>
      <c r="AJ99" s="809"/>
      <c r="AK99" s="809"/>
      <c r="AL99" s="809"/>
      <c r="AM99" s="809"/>
      <c r="AN99" s="809"/>
      <c r="AO99" s="809"/>
      <c r="AP99" s="809"/>
      <c r="AQ99" s="809"/>
      <c r="AR99" s="809"/>
      <c r="AS99" s="809"/>
      <c r="AT99" s="809"/>
      <c r="AU99" s="809"/>
      <c r="AV99" s="809"/>
      <c r="AW99" s="809"/>
      <c r="AX99" s="809"/>
      <c r="AY99" s="809"/>
      <c r="AZ99" s="809"/>
      <c r="BA99" s="809"/>
      <c r="BB99" s="809"/>
      <c r="BC99" s="809"/>
      <c r="BD99" s="809"/>
      <c r="BE99" s="809"/>
      <c r="BF99" s="809"/>
      <c r="BG99" s="809"/>
      <c r="BH99" s="809"/>
    </row>
    <row r="100" ht="15.95" customHeight="1" spans="1:60">
      <c r="A100" s="803" t="s">
        <v>1153</v>
      </c>
      <c r="B100" s="724"/>
      <c r="C100" s="724"/>
      <c r="D100" s="724"/>
      <c r="E100" s="724"/>
      <c r="F100" s="724"/>
      <c r="G100" s="740"/>
      <c r="H100" s="809"/>
      <c r="I100" s="809"/>
      <c r="J100" s="809"/>
      <c r="K100" s="809"/>
      <c r="L100" s="809"/>
      <c r="M100" s="809"/>
      <c r="N100" s="809"/>
      <c r="O100" s="809"/>
      <c r="P100" s="809"/>
      <c r="Q100" s="696"/>
      <c r="R100" s="696"/>
      <c r="S100" s="696"/>
      <c r="T100" s="696"/>
      <c r="U100" s="648" t="s">
        <v>759</v>
      </c>
      <c r="V100" s="648"/>
      <c r="W100" s="648"/>
      <c r="X100" s="648"/>
      <c r="Y100" s="804"/>
      <c r="Z100" s="805"/>
      <c r="AA100" s="805"/>
      <c r="AB100" s="806"/>
      <c r="AC100" s="809"/>
      <c r="AD100" s="809"/>
      <c r="AE100" s="809"/>
      <c r="AF100" s="809"/>
      <c r="AG100" s="809"/>
      <c r="AH100" s="809"/>
      <c r="AI100" s="809"/>
      <c r="AJ100" s="809"/>
      <c r="AK100" s="809"/>
      <c r="AL100" s="809"/>
      <c r="AM100" s="809"/>
      <c r="AN100" s="809"/>
      <c r="AO100" s="809"/>
      <c r="AP100" s="809"/>
      <c r="AQ100" s="809"/>
      <c r="AR100" s="809"/>
      <c r="AS100" s="809"/>
      <c r="AT100" s="809"/>
      <c r="AU100" s="809"/>
      <c r="AV100" s="809"/>
      <c r="AW100" s="809"/>
      <c r="AX100" s="809"/>
      <c r="AY100" s="809"/>
      <c r="AZ100" s="809"/>
      <c r="BA100" s="809"/>
      <c r="BB100" s="809"/>
      <c r="BC100" s="809"/>
      <c r="BD100" s="809"/>
      <c r="BE100" s="809"/>
      <c r="BF100" s="809"/>
      <c r="BG100" s="809"/>
      <c r="BH100" s="809"/>
    </row>
    <row r="101" ht="15.95" customHeight="1" spans="1:60">
      <c r="A101" s="802" t="s">
        <v>1154</v>
      </c>
      <c r="B101" s="742"/>
      <c r="C101" s="742"/>
      <c r="D101" s="742"/>
      <c r="E101" s="742"/>
      <c r="F101" s="742"/>
      <c r="G101" s="742"/>
      <c r="H101" s="742"/>
      <c r="I101" s="742"/>
      <c r="J101" s="742"/>
      <c r="K101" s="742"/>
      <c r="L101" s="742"/>
      <c r="M101" s="742"/>
      <c r="N101" s="742"/>
      <c r="O101" s="742"/>
      <c r="P101" s="742"/>
      <c r="Q101" s="742"/>
      <c r="R101" s="742"/>
      <c r="S101" s="742"/>
      <c r="T101" s="742"/>
      <c r="U101" s="742"/>
      <c r="V101" s="742"/>
      <c r="W101" s="742"/>
      <c r="X101" s="742"/>
      <c r="Y101" s="742"/>
      <c r="Z101" s="742"/>
      <c r="AA101" s="742"/>
      <c r="AB101" s="742"/>
      <c r="AC101" s="742"/>
      <c r="AD101" s="742"/>
      <c r="AE101" s="742"/>
      <c r="AF101" s="742"/>
      <c r="AG101" s="742"/>
      <c r="AH101" s="742"/>
      <c r="AI101" s="742"/>
      <c r="AJ101" s="742"/>
      <c r="AK101" s="742"/>
      <c r="AL101" s="742"/>
      <c r="AM101" s="742"/>
      <c r="AN101" s="742"/>
      <c r="AO101" s="742"/>
      <c r="AP101" s="742"/>
      <c r="AQ101" s="742"/>
      <c r="AR101" s="742"/>
      <c r="AS101" s="742"/>
      <c r="AT101" s="742"/>
      <c r="AU101" s="742"/>
      <c r="AV101" s="742"/>
      <c r="AW101" s="742"/>
      <c r="AX101" s="742"/>
      <c r="AY101" s="742"/>
      <c r="AZ101" s="742"/>
      <c r="BA101" s="742"/>
      <c r="BB101" s="742"/>
      <c r="BC101" s="742"/>
      <c r="BD101" s="742"/>
      <c r="BE101" s="742"/>
      <c r="BF101" s="742"/>
      <c r="BG101" s="742"/>
      <c r="BH101" s="742"/>
    </row>
    <row r="102" ht="15.95" customHeight="1" spans="1:60">
      <c r="A102" s="658" t="s">
        <v>1155</v>
      </c>
      <c r="B102" s="658"/>
      <c r="C102" s="658"/>
      <c r="D102" s="658"/>
      <c r="E102" s="658"/>
      <c r="F102" s="658"/>
      <c r="G102" s="658"/>
      <c r="H102" s="760"/>
      <c r="I102" s="760"/>
      <c r="J102" s="760"/>
      <c r="K102" s="760"/>
      <c r="L102" s="760"/>
      <c r="M102" s="760"/>
      <c r="N102" s="760"/>
      <c r="O102" s="760"/>
      <c r="P102" s="760"/>
      <c r="Q102" s="760"/>
      <c r="R102" s="760"/>
      <c r="S102" s="760"/>
      <c r="T102" s="760"/>
      <c r="U102" s="807"/>
      <c r="V102" s="811"/>
      <c r="W102" s="811"/>
      <c r="X102" s="811"/>
      <c r="Y102" s="811"/>
      <c r="Z102" s="811"/>
      <c r="AA102" s="811"/>
      <c r="AB102" s="811"/>
      <c r="AC102" s="811"/>
      <c r="AD102" s="811"/>
      <c r="AE102" s="811"/>
      <c r="AF102" s="811"/>
      <c r="AG102" s="811"/>
      <c r="AH102" s="811"/>
      <c r="AI102" s="811"/>
      <c r="AJ102" s="811"/>
      <c r="AK102" s="811"/>
      <c r="AL102" s="811"/>
      <c r="AM102" s="811"/>
      <c r="AN102" s="811"/>
      <c r="AO102" s="811"/>
      <c r="AP102" s="811"/>
      <c r="AQ102" s="811"/>
      <c r="AR102" s="811"/>
      <c r="AS102" s="811"/>
      <c r="AT102" s="811"/>
      <c r="AU102" s="811"/>
      <c r="AV102" s="811"/>
      <c r="AW102" s="811"/>
      <c r="AX102" s="811"/>
      <c r="AY102" s="811"/>
      <c r="AZ102" s="811"/>
      <c r="BA102" s="811"/>
      <c r="BB102" s="811"/>
      <c r="BC102" s="811"/>
      <c r="BD102" s="811"/>
      <c r="BE102" s="811"/>
      <c r="BF102" s="811"/>
      <c r="BG102" s="811"/>
      <c r="BH102" s="815"/>
    </row>
    <row r="103" ht="15.95" customHeight="1" spans="1:60">
      <c r="A103" s="803" t="s">
        <v>1156</v>
      </c>
      <c r="B103" s="724"/>
      <c r="C103" s="724"/>
      <c r="D103" s="740"/>
      <c r="E103" s="807" t="s">
        <v>1157</v>
      </c>
      <c r="F103" s="811"/>
      <c r="G103" s="811"/>
      <c r="H103" s="811"/>
      <c r="I103" s="811"/>
      <c r="J103" s="811"/>
      <c r="K103" s="811"/>
      <c r="L103" s="811"/>
      <c r="M103" s="807" t="s">
        <v>1158</v>
      </c>
      <c r="N103" s="811"/>
      <c r="O103" s="811"/>
      <c r="P103" s="811"/>
      <c r="Q103" s="811"/>
      <c r="R103" s="811"/>
      <c r="S103" s="811"/>
      <c r="T103" s="811"/>
      <c r="U103" s="807" t="s">
        <v>1159</v>
      </c>
      <c r="V103" s="811"/>
      <c r="W103" s="811"/>
      <c r="X103" s="811"/>
      <c r="Y103" s="811"/>
      <c r="Z103" s="811"/>
      <c r="AA103" s="811"/>
      <c r="AB103" s="811"/>
      <c r="AC103" s="807" t="s">
        <v>1160</v>
      </c>
      <c r="AD103" s="811"/>
      <c r="AE103" s="811"/>
      <c r="AF103" s="811"/>
      <c r="AG103" s="811"/>
      <c r="AH103" s="811"/>
      <c r="AI103" s="804" t="s">
        <v>894</v>
      </c>
      <c r="AJ103" s="805"/>
      <c r="AK103" s="807" t="s">
        <v>1161</v>
      </c>
      <c r="AL103" s="811"/>
      <c r="AM103" s="811"/>
      <c r="AN103" s="811"/>
      <c r="AO103" s="811"/>
      <c r="AP103" s="811"/>
      <c r="AQ103" s="804" t="s">
        <v>894</v>
      </c>
      <c r="AR103" s="805"/>
      <c r="AS103" s="807" t="s">
        <v>1162</v>
      </c>
      <c r="AT103" s="811"/>
      <c r="AU103" s="811"/>
      <c r="AV103" s="811"/>
      <c r="AW103" s="811"/>
      <c r="AX103" s="811"/>
      <c r="AY103" s="804" t="s">
        <v>900</v>
      </c>
      <c r="AZ103" s="805"/>
      <c r="BA103" s="807" t="s">
        <v>1163</v>
      </c>
      <c r="BB103" s="811"/>
      <c r="BC103" s="811"/>
      <c r="BD103" s="811"/>
      <c r="BE103" s="811"/>
      <c r="BF103" s="811"/>
      <c r="BG103" s="804" t="s">
        <v>900</v>
      </c>
      <c r="BH103" s="805"/>
    </row>
    <row r="104" ht="15.95" customHeight="1" spans="1:60">
      <c r="A104" s="803">
        <v>1</v>
      </c>
      <c r="B104" s="724"/>
      <c r="C104" s="724"/>
      <c r="D104" s="740"/>
      <c r="E104" s="809"/>
      <c r="F104" s="809"/>
      <c r="G104" s="809"/>
      <c r="H104" s="809"/>
      <c r="I104" s="809"/>
      <c r="J104" s="809"/>
      <c r="K104" s="809"/>
      <c r="L104" s="809"/>
      <c r="M104" s="809"/>
      <c r="N104" s="809"/>
      <c r="O104" s="809"/>
      <c r="P104" s="809"/>
      <c r="Q104" s="809"/>
      <c r="R104" s="809"/>
      <c r="S104" s="809"/>
      <c r="T104" s="809"/>
      <c r="U104" s="809"/>
      <c r="V104" s="809"/>
      <c r="W104" s="809"/>
      <c r="X104" s="809"/>
      <c r="Y104" s="809"/>
      <c r="Z104" s="809"/>
      <c r="AA104" s="809"/>
      <c r="AB104" s="809"/>
      <c r="AC104" s="809"/>
      <c r="AD104" s="809"/>
      <c r="AE104" s="809"/>
      <c r="AF104" s="809"/>
      <c r="AG104" s="809"/>
      <c r="AH104" s="809"/>
      <c r="AI104" s="809"/>
      <c r="AJ104" s="809"/>
      <c r="AK104" s="809"/>
      <c r="AL104" s="809"/>
      <c r="AM104" s="809"/>
      <c r="AN104" s="809"/>
      <c r="AO104" s="809"/>
      <c r="AP104" s="809"/>
      <c r="AQ104" s="809"/>
      <c r="AR104" s="809"/>
      <c r="AS104" s="809"/>
      <c r="AT104" s="809"/>
      <c r="AU104" s="809"/>
      <c r="AV104" s="809"/>
      <c r="AW104" s="809"/>
      <c r="AX104" s="809"/>
      <c r="AY104" s="809"/>
      <c r="AZ104" s="809"/>
      <c r="BA104" s="809"/>
      <c r="BB104" s="809"/>
      <c r="BC104" s="809"/>
      <c r="BD104" s="809"/>
      <c r="BE104" s="809"/>
      <c r="BF104" s="809"/>
      <c r="BG104" s="809"/>
      <c r="BH104" s="809"/>
    </row>
    <row r="105" ht="15.95" customHeight="1" spans="1:60">
      <c r="A105" s="803">
        <v>2</v>
      </c>
      <c r="B105" s="724"/>
      <c r="C105" s="724"/>
      <c r="D105" s="740"/>
      <c r="E105" s="809"/>
      <c r="F105" s="809"/>
      <c r="G105" s="809"/>
      <c r="H105" s="809"/>
      <c r="I105" s="809"/>
      <c r="J105" s="809"/>
      <c r="K105" s="809"/>
      <c r="L105" s="809"/>
      <c r="M105" s="809"/>
      <c r="N105" s="809"/>
      <c r="O105" s="809"/>
      <c r="P105" s="809"/>
      <c r="Q105" s="809"/>
      <c r="R105" s="809"/>
      <c r="S105" s="809"/>
      <c r="T105" s="809"/>
      <c r="U105" s="809"/>
      <c r="V105" s="809"/>
      <c r="W105" s="809"/>
      <c r="X105" s="809"/>
      <c r="Y105" s="809"/>
      <c r="Z105" s="809"/>
      <c r="AA105" s="809"/>
      <c r="AB105" s="809"/>
      <c r="AC105" s="809"/>
      <c r="AD105" s="809"/>
      <c r="AE105" s="809"/>
      <c r="AF105" s="809"/>
      <c r="AG105" s="809"/>
      <c r="AH105" s="809"/>
      <c r="AI105" s="809"/>
      <c r="AJ105" s="809"/>
      <c r="AK105" s="809"/>
      <c r="AL105" s="809"/>
      <c r="AM105" s="809"/>
      <c r="AN105" s="809"/>
      <c r="AO105" s="809"/>
      <c r="AP105" s="809"/>
      <c r="AQ105" s="809"/>
      <c r="AR105" s="809"/>
      <c r="AS105" s="809"/>
      <c r="AT105" s="809"/>
      <c r="AU105" s="809"/>
      <c r="AV105" s="809"/>
      <c r="AW105" s="809"/>
      <c r="AX105" s="809"/>
      <c r="AY105" s="809"/>
      <c r="AZ105" s="809"/>
      <c r="BA105" s="809"/>
      <c r="BB105" s="809"/>
      <c r="BC105" s="809"/>
      <c r="BD105" s="809"/>
      <c r="BE105" s="809"/>
      <c r="BF105" s="809"/>
      <c r="BG105" s="809"/>
      <c r="BH105" s="809"/>
    </row>
    <row r="106" ht="24" customHeight="1" spans="1:60">
      <c r="A106" s="812" t="str">
        <f>IF(目录!G2="中文",对照!Z90,IF(目录!G2="English",对照!AA90,对照!Z90))</f>
        <v>监测项目</v>
      </c>
      <c r="B106" s="813"/>
      <c r="C106" s="813"/>
      <c r="D106" s="813"/>
      <c r="E106" s="813"/>
      <c r="F106" s="813"/>
      <c r="G106" s="813"/>
      <c r="H106" s="813"/>
      <c r="I106" s="813"/>
      <c r="J106" s="813"/>
      <c r="K106" s="813"/>
      <c r="L106" s="813"/>
      <c r="M106" s="813"/>
      <c r="N106" s="813"/>
      <c r="O106" s="813"/>
      <c r="P106" s="813"/>
      <c r="Q106" s="813"/>
      <c r="R106" s="813"/>
      <c r="S106" s="813"/>
      <c r="T106" s="813"/>
      <c r="U106" s="813"/>
      <c r="V106" s="813"/>
      <c r="W106" s="813"/>
      <c r="X106" s="813"/>
      <c r="Y106" s="813"/>
      <c r="Z106" s="813"/>
      <c r="AA106" s="813"/>
      <c r="AB106" s="813"/>
      <c r="AC106" s="813"/>
      <c r="AD106" s="813"/>
      <c r="AE106" s="813"/>
      <c r="AF106" s="813"/>
      <c r="AG106" s="813"/>
      <c r="AH106" s="813"/>
      <c r="AI106" s="813"/>
      <c r="AJ106" s="813"/>
      <c r="AK106" s="813"/>
      <c r="AL106" s="813"/>
      <c r="AM106" s="813"/>
      <c r="AN106" s="813"/>
      <c r="AO106" s="813"/>
      <c r="AP106" s="813"/>
      <c r="AQ106" s="813"/>
      <c r="AR106" s="813"/>
      <c r="AS106" s="813"/>
      <c r="AT106" s="813"/>
      <c r="AU106" s="813"/>
      <c r="AV106" s="813"/>
      <c r="AW106" s="813"/>
      <c r="AX106" s="813"/>
      <c r="AY106" s="813"/>
      <c r="AZ106" s="813"/>
      <c r="BA106" s="813"/>
      <c r="BB106" s="813"/>
      <c r="BC106" s="813"/>
      <c r="BD106" s="813"/>
      <c r="BE106" s="813"/>
      <c r="BF106" s="813"/>
      <c r="BG106" s="813"/>
      <c r="BH106" s="871"/>
    </row>
    <row r="107" spans="1:60">
      <c r="A107" s="647" t="s">
        <v>1164</v>
      </c>
      <c r="B107" s="648"/>
      <c r="C107" s="648"/>
      <c r="D107" s="648"/>
      <c r="E107" s="648"/>
      <c r="F107" s="648"/>
      <c r="G107" s="648"/>
      <c r="H107" s="648"/>
      <c r="I107" s="662"/>
      <c r="J107" s="662"/>
      <c r="K107" s="662"/>
      <c r="L107" s="662"/>
      <c r="M107" s="662"/>
      <c r="N107" s="662"/>
      <c r="O107" s="662"/>
      <c r="P107" s="662"/>
      <c r="Q107" s="696" t="s">
        <v>894</v>
      </c>
      <c r="R107" s="696"/>
      <c r="S107" s="696"/>
      <c r="T107" s="696"/>
      <c r="U107" s="648" t="s">
        <v>355</v>
      </c>
      <c r="V107" s="648"/>
      <c r="W107" s="648"/>
      <c r="X107" s="648"/>
      <c r="Y107" s="648"/>
      <c r="Z107" s="648"/>
      <c r="AA107" s="648"/>
      <c r="AB107" s="648"/>
      <c r="AC107" s="662"/>
      <c r="AD107" s="662"/>
      <c r="AE107" s="662"/>
      <c r="AF107" s="662"/>
      <c r="AG107" s="662"/>
      <c r="AH107" s="662"/>
      <c r="AI107" s="662"/>
      <c r="AJ107" s="662"/>
      <c r="AK107" s="696" t="s">
        <v>894</v>
      </c>
      <c r="AL107" s="696"/>
      <c r="AM107" s="696"/>
      <c r="AN107" s="696"/>
      <c r="AO107" s="648" t="s">
        <v>408</v>
      </c>
      <c r="AP107" s="648"/>
      <c r="AQ107" s="648"/>
      <c r="AR107" s="648"/>
      <c r="AS107" s="648"/>
      <c r="AT107" s="648"/>
      <c r="AU107" s="648"/>
      <c r="AV107" s="648"/>
      <c r="AW107" s="662"/>
      <c r="AX107" s="662"/>
      <c r="AY107" s="662"/>
      <c r="AZ107" s="662"/>
      <c r="BA107" s="662"/>
      <c r="BB107" s="662"/>
      <c r="BC107" s="662"/>
      <c r="BD107" s="662"/>
      <c r="BE107" s="696" t="s">
        <v>894</v>
      </c>
      <c r="BF107" s="696"/>
      <c r="BG107" s="696"/>
      <c r="BH107" s="770"/>
    </row>
    <row r="108" spans="1:60">
      <c r="A108" s="814" t="s">
        <v>1146</v>
      </c>
      <c r="B108" s="811"/>
      <c r="C108" s="811"/>
      <c r="D108" s="811"/>
      <c r="E108" s="811"/>
      <c r="F108" s="811"/>
      <c r="G108" s="811"/>
      <c r="H108" s="815"/>
      <c r="I108" s="687"/>
      <c r="J108" s="670"/>
      <c r="K108" s="670"/>
      <c r="L108" s="670"/>
      <c r="M108" s="670"/>
      <c r="N108" s="670"/>
      <c r="O108" s="670"/>
      <c r="P108" s="688"/>
      <c r="Q108" s="847" t="s">
        <v>894</v>
      </c>
      <c r="R108" s="848"/>
      <c r="S108" s="848"/>
      <c r="T108" s="849"/>
      <c r="U108" s="807" t="s">
        <v>1165</v>
      </c>
      <c r="V108" s="811"/>
      <c r="W108" s="811"/>
      <c r="X108" s="811"/>
      <c r="Y108" s="811"/>
      <c r="Z108" s="811"/>
      <c r="AA108" s="811"/>
      <c r="AB108" s="815"/>
      <c r="AC108" s="687"/>
      <c r="AD108" s="670"/>
      <c r="AE108" s="670"/>
      <c r="AF108" s="670"/>
      <c r="AG108" s="670"/>
      <c r="AH108" s="670"/>
      <c r="AI108" s="670"/>
      <c r="AJ108" s="688"/>
      <c r="AK108" s="847" t="s">
        <v>900</v>
      </c>
      <c r="AL108" s="848"/>
      <c r="AM108" s="848"/>
      <c r="AN108" s="849"/>
      <c r="AO108" s="807"/>
      <c r="AP108" s="811"/>
      <c r="AQ108" s="811"/>
      <c r="AR108" s="811"/>
      <c r="AS108" s="811"/>
      <c r="AT108" s="811"/>
      <c r="AU108" s="811"/>
      <c r="AV108" s="811"/>
      <c r="AW108" s="811"/>
      <c r="AX108" s="811"/>
      <c r="AY108" s="811"/>
      <c r="AZ108" s="811"/>
      <c r="BA108" s="811"/>
      <c r="BB108" s="811"/>
      <c r="BC108" s="811"/>
      <c r="BD108" s="811"/>
      <c r="BE108" s="811"/>
      <c r="BF108" s="811"/>
      <c r="BG108" s="811"/>
      <c r="BH108" s="869"/>
    </row>
    <row r="109" spans="1:60">
      <c r="A109" s="661" t="s">
        <v>870</v>
      </c>
      <c r="B109" s="662"/>
      <c r="C109" s="662"/>
      <c r="D109" s="662"/>
      <c r="E109" s="662"/>
      <c r="F109" s="662"/>
      <c r="G109" s="662"/>
      <c r="H109" s="662"/>
      <c r="I109" s="662"/>
      <c r="J109" s="662"/>
      <c r="K109" s="662"/>
      <c r="L109" s="662"/>
      <c r="M109" s="662"/>
      <c r="N109" s="662"/>
      <c r="O109" s="662"/>
      <c r="P109" s="662"/>
      <c r="Q109" s="662"/>
      <c r="R109" s="662"/>
      <c r="S109" s="662"/>
      <c r="T109" s="662"/>
      <c r="U109" s="662"/>
      <c r="V109" s="662"/>
      <c r="W109" s="662"/>
      <c r="X109" s="662"/>
      <c r="Y109" s="662"/>
      <c r="Z109" s="662"/>
      <c r="AA109" s="662"/>
      <c r="AB109" s="662"/>
      <c r="AC109" s="662"/>
      <c r="AD109" s="662"/>
      <c r="AE109" s="662"/>
      <c r="AF109" s="662"/>
      <c r="AG109" s="662"/>
      <c r="AH109" s="662"/>
      <c r="AI109" s="662"/>
      <c r="AJ109" s="662"/>
      <c r="AK109" s="662"/>
      <c r="AL109" s="662"/>
      <c r="AM109" s="662"/>
      <c r="AN109" s="662"/>
      <c r="AO109" s="662"/>
      <c r="AP109" s="662"/>
      <c r="AQ109" s="662"/>
      <c r="AR109" s="662"/>
      <c r="AS109" s="662"/>
      <c r="AT109" s="662"/>
      <c r="AU109" s="662"/>
      <c r="AV109" s="662"/>
      <c r="AW109" s="662"/>
      <c r="AX109" s="662"/>
      <c r="AY109" s="662"/>
      <c r="AZ109" s="662"/>
      <c r="BA109" s="662"/>
      <c r="BB109" s="662"/>
      <c r="BC109" s="662"/>
      <c r="BD109" s="662"/>
      <c r="BE109" s="662"/>
      <c r="BF109" s="662"/>
      <c r="BG109" s="662"/>
      <c r="BH109" s="775"/>
    </row>
    <row r="110" spans="1:60">
      <c r="A110" s="647" t="s">
        <v>259</v>
      </c>
      <c r="B110" s="648"/>
      <c r="C110" s="648"/>
      <c r="D110" s="648"/>
      <c r="E110" s="648"/>
      <c r="F110" s="648"/>
      <c r="G110" s="648"/>
      <c r="H110" s="648"/>
      <c r="I110" s="662"/>
      <c r="J110" s="662"/>
      <c r="K110" s="662"/>
      <c r="L110" s="662"/>
      <c r="M110" s="662"/>
      <c r="N110" s="662"/>
      <c r="O110" s="662"/>
      <c r="P110" s="662"/>
      <c r="Q110" s="696" t="s">
        <v>894</v>
      </c>
      <c r="R110" s="696"/>
      <c r="S110" s="696"/>
      <c r="T110" s="696"/>
      <c r="U110" s="648" t="s">
        <v>328</v>
      </c>
      <c r="V110" s="648"/>
      <c r="W110" s="648"/>
      <c r="X110" s="648"/>
      <c r="Y110" s="648"/>
      <c r="Z110" s="648"/>
      <c r="AA110" s="648"/>
      <c r="AB110" s="648"/>
      <c r="AC110" s="662"/>
      <c r="AD110" s="662"/>
      <c r="AE110" s="662"/>
      <c r="AF110" s="662"/>
      <c r="AG110" s="662"/>
      <c r="AH110" s="662"/>
      <c r="AI110" s="662"/>
      <c r="AJ110" s="662"/>
      <c r="AK110" s="696" t="s">
        <v>894</v>
      </c>
      <c r="AL110" s="696"/>
      <c r="AM110" s="696"/>
      <c r="AN110" s="696"/>
      <c r="AO110" s="648" t="s">
        <v>782</v>
      </c>
      <c r="AP110" s="648"/>
      <c r="AQ110" s="648"/>
      <c r="AR110" s="648"/>
      <c r="AS110" s="648"/>
      <c r="AT110" s="648"/>
      <c r="AU110" s="648"/>
      <c r="AV110" s="648"/>
      <c r="AW110" s="662"/>
      <c r="AX110" s="662"/>
      <c r="AY110" s="662"/>
      <c r="AZ110" s="662"/>
      <c r="BA110" s="662"/>
      <c r="BB110" s="662"/>
      <c r="BC110" s="662"/>
      <c r="BD110" s="662"/>
      <c r="BE110" s="696" t="s">
        <v>894</v>
      </c>
      <c r="BF110" s="696"/>
      <c r="BG110" s="696"/>
      <c r="BH110" s="770"/>
    </row>
    <row r="111" spans="1:60">
      <c r="A111" s="647" t="s">
        <v>1166</v>
      </c>
      <c r="B111" s="648"/>
      <c r="C111" s="648"/>
      <c r="D111" s="648"/>
      <c r="E111" s="648"/>
      <c r="F111" s="648"/>
      <c r="G111" s="648"/>
      <c r="H111" s="648"/>
      <c r="I111" s="662"/>
      <c r="J111" s="662"/>
      <c r="K111" s="662"/>
      <c r="L111" s="662"/>
      <c r="M111" s="662"/>
      <c r="N111" s="662"/>
      <c r="O111" s="662"/>
      <c r="P111" s="662"/>
      <c r="Q111" s="696" t="s">
        <v>894</v>
      </c>
      <c r="R111" s="696"/>
      <c r="S111" s="696"/>
      <c r="T111" s="696"/>
      <c r="U111" s="648" t="s">
        <v>1167</v>
      </c>
      <c r="V111" s="648"/>
      <c r="W111" s="648"/>
      <c r="X111" s="648"/>
      <c r="Y111" s="648"/>
      <c r="Z111" s="648"/>
      <c r="AA111" s="648"/>
      <c r="AB111" s="648"/>
      <c r="AC111" s="662"/>
      <c r="AD111" s="662"/>
      <c r="AE111" s="662"/>
      <c r="AF111" s="662"/>
      <c r="AG111" s="662"/>
      <c r="AH111" s="662"/>
      <c r="AI111" s="662"/>
      <c r="AJ111" s="662"/>
      <c r="AK111" s="696" t="s">
        <v>894</v>
      </c>
      <c r="AL111" s="696"/>
      <c r="AM111" s="696"/>
      <c r="AN111" s="696"/>
      <c r="AO111" s="807"/>
      <c r="AP111" s="811"/>
      <c r="AQ111" s="811"/>
      <c r="AR111" s="811"/>
      <c r="AS111" s="811"/>
      <c r="AT111" s="811"/>
      <c r="AU111" s="811"/>
      <c r="AV111" s="811"/>
      <c r="AW111" s="811"/>
      <c r="AX111" s="811"/>
      <c r="AY111" s="811"/>
      <c r="AZ111" s="811"/>
      <c r="BA111" s="811"/>
      <c r="BB111" s="811"/>
      <c r="BC111" s="811"/>
      <c r="BD111" s="811"/>
      <c r="BE111" s="811"/>
      <c r="BF111" s="811"/>
      <c r="BG111" s="811"/>
      <c r="BH111" s="815"/>
    </row>
    <row r="112" spans="1:60">
      <c r="A112" s="661" t="s">
        <v>759</v>
      </c>
      <c r="B112" s="662"/>
      <c r="C112" s="662"/>
      <c r="D112" s="662"/>
      <c r="E112" s="662"/>
      <c r="F112" s="662"/>
      <c r="G112" s="662"/>
      <c r="H112" s="662"/>
      <c r="I112" s="662"/>
      <c r="J112" s="662"/>
      <c r="K112" s="662"/>
      <c r="L112" s="662"/>
      <c r="M112" s="662"/>
      <c r="N112" s="662"/>
      <c r="O112" s="662"/>
      <c r="P112" s="662"/>
      <c r="Q112" s="662"/>
      <c r="R112" s="662"/>
      <c r="S112" s="662"/>
      <c r="T112" s="662"/>
      <c r="U112" s="662"/>
      <c r="V112" s="662"/>
      <c r="W112" s="662"/>
      <c r="X112" s="662"/>
      <c r="Y112" s="662"/>
      <c r="Z112" s="662"/>
      <c r="AA112" s="662"/>
      <c r="AB112" s="662"/>
      <c r="AC112" s="662"/>
      <c r="AD112" s="662"/>
      <c r="AE112" s="662"/>
      <c r="AF112" s="662"/>
      <c r="AG112" s="662"/>
      <c r="AH112" s="662"/>
      <c r="AI112" s="662"/>
      <c r="AJ112" s="662"/>
      <c r="AK112" s="662"/>
      <c r="AL112" s="662"/>
      <c r="AM112" s="662"/>
      <c r="AN112" s="662"/>
      <c r="AO112" s="662"/>
      <c r="AP112" s="662"/>
      <c r="AQ112" s="662"/>
      <c r="AR112" s="662"/>
      <c r="AS112" s="662"/>
      <c r="AT112" s="662"/>
      <c r="AU112" s="662"/>
      <c r="AV112" s="662"/>
      <c r="AW112" s="662"/>
      <c r="AX112" s="662"/>
      <c r="AY112" s="662"/>
      <c r="AZ112" s="662"/>
      <c r="BA112" s="662"/>
      <c r="BB112" s="662"/>
      <c r="BC112" s="662"/>
      <c r="BD112" s="662"/>
      <c r="BE112" s="662"/>
      <c r="BF112" s="662"/>
      <c r="BG112" s="662"/>
      <c r="BH112" s="775"/>
    </row>
    <row r="113" spans="1:60">
      <c r="A113" s="647" t="s">
        <v>1168</v>
      </c>
      <c r="B113" s="648"/>
      <c r="C113" s="648"/>
      <c r="D113" s="648"/>
      <c r="E113" s="648"/>
      <c r="F113" s="648"/>
      <c r="G113" s="648"/>
      <c r="H113" s="648"/>
      <c r="I113" s="662"/>
      <c r="J113" s="662"/>
      <c r="K113" s="662"/>
      <c r="L113" s="662"/>
      <c r="M113" s="662"/>
      <c r="N113" s="662"/>
      <c r="O113" s="662"/>
      <c r="P113" s="662"/>
      <c r="Q113" s="696" t="s">
        <v>900</v>
      </c>
      <c r="R113" s="696"/>
      <c r="S113" s="696"/>
      <c r="T113" s="696"/>
      <c r="U113" s="648" t="s">
        <v>1169</v>
      </c>
      <c r="V113" s="648"/>
      <c r="W113" s="648"/>
      <c r="X113" s="648"/>
      <c r="Y113" s="648"/>
      <c r="Z113" s="648"/>
      <c r="AA113" s="648"/>
      <c r="AB113" s="648"/>
      <c r="AC113" s="662"/>
      <c r="AD113" s="662"/>
      <c r="AE113" s="662"/>
      <c r="AF113" s="662"/>
      <c r="AG113" s="662"/>
      <c r="AH113" s="662"/>
      <c r="AI113" s="662"/>
      <c r="AJ113" s="662"/>
      <c r="AK113" s="696" t="s">
        <v>900</v>
      </c>
      <c r="AL113" s="696"/>
      <c r="AM113" s="696"/>
      <c r="AN113" s="696"/>
      <c r="AO113" s="648" t="s">
        <v>1170</v>
      </c>
      <c r="AP113" s="648"/>
      <c r="AQ113" s="648"/>
      <c r="AR113" s="648"/>
      <c r="AS113" s="648"/>
      <c r="AT113" s="648"/>
      <c r="AU113" s="648"/>
      <c r="AV113" s="648"/>
      <c r="AW113" s="662"/>
      <c r="AX113" s="662"/>
      <c r="AY113" s="662"/>
      <c r="AZ113" s="662"/>
      <c r="BA113" s="662"/>
      <c r="BB113" s="662"/>
      <c r="BC113" s="662"/>
      <c r="BD113" s="662"/>
      <c r="BE113" s="696" t="s">
        <v>900</v>
      </c>
      <c r="BF113" s="696"/>
      <c r="BG113" s="696"/>
      <c r="BH113" s="770"/>
    </row>
    <row r="114" spans="1:60">
      <c r="A114" s="647" t="s">
        <v>1171</v>
      </c>
      <c r="B114" s="648"/>
      <c r="C114" s="648"/>
      <c r="D114" s="648"/>
      <c r="E114" s="648"/>
      <c r="F114" s="648"/>
      <c r="G114" s="648"/>
      <c r="H114" s="648"/>
      <c r="I114" s="662"/>
      <c r="J114" s="662"/>
      <c r="K114" s="662"/>
      <c r="L114" s="662"/>
      <c r="M114" s="662"/>
      <c r="N114" s="662"/>
      <c r="O114" s="662"/>
      <c r="P114" s="662"/>
      <c r="Q114" s="696" t="s">
        <v>900</v>
      </c>
      <c r="R114" s="696"/>
      <c r="S114" s="696"/>
      <c r="T114" s="696"/>
      <c r="U114" s="648" t="s">
        <v>1172</v>
      </c>
      <c r="V114" s="648"/>
      <c r="W114" s="648"/>
      <c r="X114" s="648"/>
      <c r="Y114" s="648"/>
      <c r="Z114" s="648"/>
      <c r="AA114" s="648"/>
      <c r="AB114" s="648"/>
      <c r="AC114" s="662"/>
      <c r="AD114" s="662"/>
      <c r="AE114" s="662"/>
      <c r="AF114" s="662"/>
      <c r="AG114" s="662"/>
      <c r="AH114" s="662"/>
      <c r="AI114" s="662"/>
      <c r="AJ114" s="662"/>
      <c r="AK114" s="696" t="s">
        <v>900</v>
      </c>
      <c r="AL114" s="696"/>
      <c r="AM114" s="696"/>
      <c r="AN114" s="696"/>
      <c r="AO114" s="648" t="s">
        <v>1173</v>
      </c>
      <c r="AP114" s="648"/>
      <c r="AQ114" s="648"/>
      <c r="AR114" s="648"/>
      <c r="AS114" s="648"/>
      <c r="AT114" s="648"/>
      <c r="AU114" s="648"/>
      <c r="AV114" s="648"/>
      <c r="AW114" s="662"/>
      <c r="AX114" s="662"/>
      <c r="AY114" s="662"/>
      <c r="AZ114" s="662"/>
      <c r="BA114" s="662"/>
      <c r="BB114" s="662"/>
      <c r="BC114" s="662"/>
      <c r="BD114" s="662"/>
      <c r="BE114" s="696" t="s">
        <v>900</v>
      </c>
      <c r="BF114" s="696"/>
      <c r="BG114" s="696"/>
      <c r="BH114" s="770"/>
    </row>
    <row r="115" spans="1:60">
      <c r="A115" s="661" t="s">
        <v>755</v>
      </c>
      <c r="B115" s="662"/>
      <c r="C115" s="662"/>
      <c r="D115" s="662"/>
      <c r="E115" s="662"/>
      <c r="F115" s="662"/>
      <c r="G115" s="662"/>
      <c r="H115" s="662"/>
      <c r="I115" s="662"/>
      <c r="J115" s="662"/>
      <c r="K115" s="662"/>
      <c r="L115" s="662"/>
      <c r="M115" s="662"/>
      <c r="N115" s="662"/>
      <c r="O115" s="662"/>
      <c r="P115" s="662"/>
      <c r="Q115" s="662"/>
      <c r="R115" s="662"/>
      <c r="S115" s="662"/>
      <c r="T115" s="662"/>
      <c r="U115" s="662"/>
      <c r="V115" s="662"/>
      <c r="W115" s="662"/>
      <c r="X115" s="662"/>
      <c r="Y115" s="662"/>
      <c r="Z115" s="662"/>
      <c r="AA115" s="662"/>
      <c r="AB115" s="662"/>
      <c r="AC115" s="662"/>
      <c r="AD115" s="662"/>
      <c r="AE115" s="662"/>
      <c r="AF115" s="662"/>
      <c r="AG115" s="662"/>
      <c r="AH115" s="662"/>
      <c r="AI115" s="662"/>
      <c r="AJ115" s="662"/>
      <c r="AK115" s="662"/>
      <c r="AL115" s="662"/>
      <c r="AM115" s="662"/>
      <c r="AN115" s="662"/>
      <c r="AO115" s="662"/>
      <c r="AP115" s="662"/>
      <c r="AQ115" s="662"/>
      <c r="AR115" s="662"/>
      <c r="AS115" s="662"/>
      <c r="AT115" s="662"/>
      <c r="AU115" s="662"/>
      <c r="AV115" s="662"/>
      <c r="AW115" s="662"/>
      <c r="AX115" s="662"/>
      <c r="AY115" s="662"/>
      <c r="AZ115" s="662"/>
      <c r="BA115" s="662"/>
      <c r="BB115" s="662"/>
      <c r="BC115" s="662"/>
      <c r="BD115" s="662"/>
      <c r="BE115" s="662"/>
      <c r="BF115" s="662"/>
      <c r="BG115" s="662"/>
      <c r="BH115" s="775"/>
    </row>
    <row r="116" ht="15.95" customHeight="1" spans="1:60">
      <c r="A116" s="816" t="s">
        <v>1174</v>
      </c>
      <c r="B116" s="816"/>
      <c r="C116" s="816"/>
      <c r="D116" s="816"/>
      <c r="E116" s="816"/>
      <c r="F116" s="816"/>
      <c r="G116" s="816"/>
      <c r="H116" s="816"/>
      <c r="I116" s="662"/>
      <c r="J116" s="662"/>
      <c r="K116" s="662"/>
      <c r="L116" s="662"/>
      <c r="M116" s="662"/>
      <c r="N116" s="662"/>
      <c r="O116" s="662"/>
      <c r="P116" s="662"/>
      <c r="Q116" s="696" t="s">
        <v>903</v>
      </c>
      <c r="R116" s="696"/>
      <c r="S116" s="696"/>
      <c r="T116" s="696"/>
      <c r="U116" s="816" t="s">
        <v>1175</v>
      </c>
      <c r="V116" s="816"/>
      <c r="W116" s="816"/>
      <c r="X116" s="816"/>
      <c r="Y116" s="816"/>
      <c r="Z116" s="816"/>
      <c r="AA116" s="816"/>
      <c r="AB116" s="816"/>
      <c r="AC116" s="760"/>
      <c r="AD116" s="760"/>
      <c r="AE116" s="760"/>
      <c r="AF116" s="760"/>
      <c r="AG116" s="760"/>
      <c r="AH116" s="760"/>
      <c r="AI116" s="760"/>
      <c r="AJ116" s="760"/>
      <c r="AK116" s="696" t="s">
        <v>903</v>
      </c>
      <c r="AL116" s="696"/>
      <c r="AM116" s="696"/>
      <c r="AN116" s="696"/>
      <c r="AO116" s="816" t="s">
        <v>1138</v>
      </c>
      <c r="AP116" s="816"/>
      <c r="AQ116" s="816"/>
      <c r="AR116" s="816"/>
      <c r="AS116" s="816"/>
      <c r="AT116" s="816"/>
      <c r="AU116" s="816"/>
      <c r="AV116" s="816"/>
      <c r="AW116" s="760"/>
      <c r="AX116" s="760"/>
      <c r="AY116" s="760"/>
      <c r="AZ116" s="760"/>
      <c r="BA116" s="760"/>
      <c r="BB116" s="760"/>
      <c r="BC116" s="760"/>
      <c r="BD116" s="760"/>
      <c r="BE116" s="696" t="s">
        <v>903</v>
      </c>
      <c r="BF116" s="696"/>
      <c r="BG116" s="696"/>
      <c r="BH116" s="696"/>
    </row>
    <row r="117" ht="24" customHeight="1" spans="1:60">
      <c r="A117" s="812" t="str">
        <f>IF(目录!G2="中文",对照!Z102,IF(目录!G2="English",对照!AA102,对照!Z102))</f>
        <v>模具参数</v>
      </c>
      <c r="B117" s="813"/>
      <c r="C117" s="813"/>
      <c r="D117" s="813"/>
      <c r="E117" s="813"/>
      <c r="F117" s="813"/>
      <c r="G117" s="813"/>
      <c r="H117" s="813"/>
      <c r="I117" s="813"/>
      <c r="J117" s="813"/>
      <c r="K117" s="813"/>
      <c r="L117" s="813"/>
      <c r="M117" s="813"/>
      <c r="N117" s="813"/>
      <c r="O117" s="813"/>
      <c r="P117" s="813"/>
      <c r="Q117" s="813"/>
      <c r="R117" s="813"/>
      <c r="S117" s="813"/>
      <c r="T117" s="813"/>
      <c r="U117" s="813"/>
      <c r="V117" s="813"/>
      <c r="W117" s="813"/>
      <c r="X117" s="813"/>
      <c r="Y117" s="813"/>
      <c r="Z117" s="813"/>
      <c r="AA117" s="813"/>
      <c r="AB117" s="813"/>
      <c r="AC117" s="813"/>
      <c r="AD117" s="813"/>
      <c r="AE117" s="813"/>
      <c r="AF117" s="813"/>
      <c r="AG117" s="813"/>
      <c r="AH117" s="813"/>
      <c r="AI117" s="813"/>
      <c r="AJ117" s="813"/>
      <c r="AK117" s="813"/>
      <c r="AL117" s="813"/>
      <c r="AM117" s="813"/>
      <c r="AN117" s="813"/>
      <c r="AO117" s="813"/>
      <c r="AP117" s="813"/>
      <c r="AQ117" s="813"/>
      <c r="AR117" s="813"/>
      <c r="AS117" s="813"/>
      <c r="AT117" s="813"/>
      <c r="AU117" s="813"/>
      <c r="AV117" s="813"/>
      <c r="AW117" s="813"/>
      <c r="AX117" s="813"/>
      <c r="AY117" s="813"/>
      <c r="AZ117" s="813"/>
      <c r="BA117" s="813"/>
      <c r="BB117" s="813"/>
      <c r="BC117" s="813"/>
      <c r="BD117" s="813"/>
      <c r="BE117" s="813"/>
      <c r="BF117" s="813"/>
      <c r="BG117" s="813"/>
      <c r="BH117" s="871"/>
    </row>
    <row r="118" ht="15.95" customHeight="1" spans="1:60">
      <c r="A118" s="657" t="s">
        <v>1176</v>
      </c>
      <c r="B118" s="658"/>
      <c r="C118" s="658"/>
      <c r="D118" s="658"/>
      <c r="E118" s="658"/>
      <c r="F118" s="658"/>
      <c r="G118" s="658"/>
      <c r="H118" s="658"/>
      <c r="I118" s="838"/>
      <c r="J118" s="838"/>
      <c r="K118" s="838"/>
      <c r="L118" s="838"/>
      <c r="M118" s="838"/>
      <c r="N118" s="838"/>
      <c r="O118" s="838"/>
      <c r="P118" s="838"/>
      <c r="Q118" s="696" t="s">
        <v>900</v>
      </c>
      <c r="R118" s="696"/>
      <c r="S118" s="696"/>
      <c r="T118" s="696"/>
      <c r="U118" s="658" t="s">
        <v>1177</v>
      </c>
      <c r="V118" s="658"/>
      <c r="W118" s="658"/>
      <c r="X118" s="658"/>
      <c r="Y118" s="658"/>
      <c r="Z118" s="658"/>
      <c r="AA118" s="658"/>
      <c r="AB118" s="658"/>
      <c r="AC118" s="662"/>
      <c r="AD118" s="662"/>
      <c r="AE118" s="662"/>
      <c r="AF118" s="662"/>
      <c r="AG118" s="662"/>
      <c r="AH118" s="662"/>
      <c r="AI118" s="662"/>
      <c r="AJ118" s="662"/>
      <c r="AK118" s="696" t="s">
        <v>900</v>
      </c>
      <c r="AL118" s="696"/>
      <c r="AM118" s="696"/>
      <c r="AN118" s="696"/>
      <c r="AO118" s="816" t="s">
        <v>1178</v>
      </c>
      <c r="AP118" s="816"/>
      <c r="AQ118" s="816"/>
      <c r="AR118" s="816"/>
      <c r="AS118" s="816"/>
      <c r="AT118" s="816"/>
      <c r="AU118" s="816"/>
      <c r="AV118" s="816"/>
      <c r="AW118" s="662"/>
      <c r="AX118" s="662"/>
      <c r="AY118" s="662"/>
      <c r="AZ118" s="662"/>
      <c r="BA118" s="662"/>
      <c r="BB118" s="662"/>
      <c r="BC118" s="662"/>
      <c r="BD118" s="662"/>
      <c r="BE118" s="696" t="s">
        <v>900</v>
      </c>
      <c r="BF118" s="696"/>
      <c r="BG118" s="696"/>
      <c r="BH118" s="770"/>
    </row>
    <row r="119" ht="15.95" customHeight="1" spans="1:60">
      <c r="A119" s="817" t="s">
        <v>801</v>
      </c>
      <c r="B119" s="816"/>
      <c r="C119" s="816"/>
      <c r="D119" s="816"/>
      <c r="E119" s="816"/>
      <c r="F119" s="816"/>
      <c r="G119" s="816"/>
      <c r="H119" s="816"/>
      <c r="I119" s="760"/>
      <c r="J119" s="760"/>
      <c r="K119" s="760"/>
      <c r="L119" s="760"/>
      <c r="M119" s="760"/>
      <c r="N119" s="760"/>
      <c r="O119" s="760"/>
      <c r="P119" s="760"/>
      <c r="Q119" s="760"/>
      <c r="R119" s="760"/>
      <c r="S119" s="760"/>
      <c r="T119" s="760"/>
      <c r="U119" s="816" t="s">
        <v>1179</v>
      </c>
      <c r="V119" s="816"/>
      <c r="W119" s="816"/>
      <c r="X119" s="816"/>
      <c r="Y119" s="816"/>
      <c r="Z119" s="816"/>
      <c r="AA119" s="816"/>
      <c r="AB119" s="816"/>
      <c r="AC119" s="662"/>
      <c r="AD119" s="662"/>
      <c r="AE119" s="662"/>
      <c r="AF119" s="662"/>
      <c r="AG119" s="662"/>
      <c r="AH119" s="662"/>
      <c r="AI119" s="662"/>
      <c r="AJ119" s="662"/>
      <c r="AK119" s="696" t="s">
        <v>900</v>
      </c>
      <c r="AL119" s="696"/>
      <c r="AM119" s="696"/>
      <c r="AN119" s="696"/>
      <c r="AO119" s="816" t="s">
        <v>805</v>
      </c>
      <c r="AP119" s="816"/>
      <c r="AQ119" s="816"/>
      <c r="AR119" s="816"/>
      <c r="AS119" s="816"/>
      <c r="AT119" s="816"/>
      <c r="AU119" s="816"/>
      <c r="AV119" s="816"/>
      <c r="AW119" s="662"/>
      <c r="AX119" s="662"/>
      <c r="AY119" s="662"/>
      <c r="AZ119" s="662"/>
      <c r="BA119" s="662"/>
      <c r="BB119" s="662"/>
      <c r="BC119" s="662"/>
      <c r="BD119" s="662"/>
      <c r="BE119" s="696" t="s">
        <v>1150</v>
      </c>
      <c r="BF119" s="696"/>
      <c r="BG119" s="696"/>
      <c r="BH119" s="770"/>
    </row>
    <row r="120" ht="15.95" customHeight="1" spans="1:60">
      <c r="A120" s="817" t="s">
        <v>807</v>
      </c>
      <c r="B120" s="816"/>
      <c r="C120" s="816"/>
      <c r="D120" s="816"/>
      <c r="E120" s="816"/>
      <c r="F120" s="816"/>
      <c r="G120" s="816"/>
      <c r="H120" s="816"/>
      <c r="I120" s="662"/>
      <c r="J120" s="662"/>
      <c r="K120" s="662"/>
      <c r="L120" s="662"/>
      <c r="M120" s="662"/>
      <c r="N120" s="662"/>
      <c r="O120" s="662"/>
      <c r="P120" s="662"/>
      <c r="Q120" s="662"/>
      <c r="R120" s="662"/>
      <c r="S120" s="662"/>
      <c r="T120" s="662"/>
      <c r="U120" s="816" t="s">
        <v>513</v>
      </c>
      <c r="V120" s="816"/>
      <c r="W120" s="816"/>
      <c r="X120" s="816"/>
      <c r="Y120" s="816"/>
      <c r="Z120" s="816"/>
      <c r="AA120" s="816"/>
      <c r="AB120" s="816"/>
      <c r="AC120" s="662"/>
      <c r="AD120" s="662"/>
      <c r="AE120" s="662"/>
      <c r="AF120" s="662"/>
      <c r="AG120" s="662"/>
      <c r="AH120" s="662"/>
      <c r="AI120" s="662"/>
      <c r="AJ120" s="662"/>
      <c r="AK120" s="696" t="s">
        <v>900</v>
      </c>
      <c r="AL120" s="696"/>
      <c r="AM120" s="696"/>
      <c r="AN120" s="696"/>
      <c r="AO120" s="816" t="s">
        <v>810</v>
      </c>
      <c r="AP120" s="816"/>
      <c r="AQ120" s="816"/>
      <c r="AR120" s="816"/>
      <c r="AS120" s="816"/>
      <c r="AT120" s="816"/>
      <c r="AU120" s="816"/>
      <c r="AV120" s="816"/>
      <c r="AW120" s="662"/>
      <c r="AX120" s="662"/>
      <c r="AY120" s="662"/>
      <c r="AZ120" s="662"/>
      <c r="BA120" s="662"/>
      <c r="BB120" s="662"/>
      <c r="BC120" s="662"/>
      <c r="BD120" s="662"/>
      <c r="BE120" s="662"/>
      <c r="BF120" s="662"/>
      <c r="BG120" s="662"/>
      <c r="BH120" s="775"/>
    </row>
    <row r="121" ht="15.95" customHeight="1" spans="1:60">
      <c r="A121" s="818" t="str">
        <f>IF(目录!G2="中文",对照!Z113,IF(目录!G2="English",对照!AA113,对照!Z113))</f>
        <v>热流道时序控制说明</v>
      </c>
      <c r="B121" s="819"/>
      <c r="C121" s="819"/>
      <c r="D121" s="820"/>
      <c r="E121" s="821" t="str">
        <f>IF(目录!G2="中文",对照!Z114,IF(目录!G2="English",对照!AA114,对照!Z114))</f>
        <v>阀针</v>
      </c>
      <c r="F121" s="822"/>
      <c r="G121" s="822"/>
      <c r="H121" s="823"/>
      <c r="I121" s="839" t="str">
        <f>IF(目录!G2="中文",对照!Z115,IF(目录!G2="English",对照!AA115,对照!Z115))</f>
        <v>控制方式</v>
      </c>
      <c r="J121" s="839"/>
      <c r="K121" s="839"/>
      <c r="L121" s="839"/>
      <c r="M121" s="839"/>
      <c r="N121" s="839"/>
      <c r="O121" s="839"/>
      <c r="P121" s="839"/>
      <c r="Q121" s="839"/>
      <c r="R121" s="839"/>
      <c r="S121" s="839"/>
      <c r="T121" s="839"/>
      <c r="U121" s="850" t="str">
        <f>IF(目录!G2="中文",对照!Z116,IF(目录!G2="English",对照!AA116,对照!Z116))</f>
        <v>射胶模式</v>
      </c>
      <c r="V121" s="851"/>
      <c r="W121" s="851"/>
      <c r="X121" s="851"/>
      <c r="Y121" s="851"/>
      <c r="Z121" s="851"/>
      <c r="AA121" s="851"/>
      <c r="AB121" s="851"/>
      <c r="AC121" s="851"/>
      <c r="AD121" s="851"/>
      <c r="AE121" s="851"/>
      <c r="AF121" s="853"/>
      <c r="AG121" s="821"/>
      <c r="AH121" s="822"/>
      <c r="AI121" s="822"/>
      <c r="AJ121" s="823"/>
      <c r="AK121" s="839" t="str">
        <f>IF(目录!G2="中文",对照!Z115,IF(目录!G2="English",对照!AA115,对照!Z115))</f>
        <v>控制方式</v>
      </c>
      <c r="AL121" s="839"/>
      <c r="AM121" s="839"/>
      <c r="AN121" s="839"/>
      <c r="AO121" s="839"/>
      <c r="AP121" s="839"/>
      <c r="AQ121" s="839"/>
      <c r="AR121" s="839"/>
      <c r="AS121" s="839"/>
      <c r="AT121" s="839"/>
      <c r="AU121" s="839"/>
      <c r="AV121" s="839"/>
      <c r="AW121" s="839" t="str">
        <f>IF(目录!G2="中文",对照!Z115,IF(目录!G2="English",对照!AA115,对照!Z115))</f>
        <v>控制方式</v>
      </c>
      <c r="AX121" s="839"/>
      <c r="AY121" s="839"/>
      <c r="AZ121" s="839"/>
      <c r="BA121" s="839"/>
      <c r="BB121" s="839"/>
      <c r="BC121" s="839"/>
      <c r="BD121" s="839"/>
      <c r="BE121" s="839"/>
      <c r="BF121" s="839"/>
      <c r="BG121" s="839"/>
      <c r="BH121" s="839"/>
    </row>
    <row r="122" ht="15.95" customHeight="1" spans="1:60">
      <c r="A122" s="824"/>
      <c r="B122" s="825"/>
      <c r="C122" s="825"/>
      <c r="D122" s="826"/>
      <c r="E122" s="827"/>
      <c r="F122" s="828"/>
      <c r="G122" s="828"/>
      <c r="H122" s="829"/>
      <c r="I122" s="840" t="str">
        <f>IF(目录!G2="中文",对照!Z117,IF(目录!G2="English",对照!AA117,对照!Z117))</f>
        <v>螺杆位置</v>
      </c>
      <c r="J122" s="841"/>
      <c r="K122" s="841"/>
      <c r="L122" s="841"/>
      <c r="M122" s="841"/>
      <c r="N122" s="841"/>
      <c r="O122" s="840" t="str">
        <f>IF(目录!G2="中文",对照!Z118,IF(目录!G2="English",对照!AA118,对照!Z118))</f>
        <v>射胶时间</v>
      </c>
      <c r="P122" s="841"/>
      <c r="Q122" s="841"/>
      <c r="R122" s="841"/>
      <c r="S122" s="841"/>
      <c r="T122" s="841"/>
      <c r="U122" s="852" t="str">
        <f>IF(目录!G2="中文",对照!Z119,IF(目录!G2="English",对照!AA119,对照!Z119))</f>
        <v>延时射胶</v>
      </c>
      <c r="V122" s="839"/>
      <c r="W122" s="839"/>
      <c r="X122" s="839"/>
      <c r="Y122" s="839"/>
      <c r="Z122" s="839"/>
      <c r="AA122" s="852" t="str">
        <f>IF(目录!G2="中文",对照!Z120,IF(目录!G2="English",对照!AA120,对照!Z120))</f>
        <v>实际射胶</v>
      </c>
      <c r="AB122" s="839"/>
      <c r="AC122" s="839"/>
      <c r="AD122" s="839"/>
      <c r="AE122" s="839"/>
      <c r="AF122" s="839"/>
      <c r="AG122" s="827"/>
      <c r="AH122" s="828"/>
      <c r="AI122" s="828"/>
      <c r="AJ122" s="829"/>
      <c r="AK122" s="840" t="s">
        <v>1180</v>
      </c>
      <c r="AL122" s="841"/>
      <c r="AM122" s="841"/>
      <c r="AN122" s="841"/>
      <c r="AO122" s="841"/>
      <c r="AP122" s="841"/>
      <c r="AQ122" s="840" t="s">
        <v>1181</v>
      </c>
      <c r="AR122" s="841"/>
      <c r="AS122" s="841"/>
      <c r="AT122" s="841"/>
      <c r="AU122" s="841"/>
      <c r="AV122" s="841"/>
      <c r="AW122" s="852" t="s">
        <v>1182</v>
      </c>
      <c r="AX122" s="839"/>
      <c r="AY122" s="839"/>
      <c r="AZ122" s="839"/>
      <c r="BA122" s="839"/>
      <c r="BB122" s="839"/>
      <c r="BC122" s="852" t="s">
        <v>1183</v>
      </c>
      <c r="BD122" s="839"/>
      <c r="BE122" s="839"/>
      <c r="BF122" s="839"/>
      <c r="BG122" s="839"/>
      <c r="BH122" s="872"/>
    </row>
    <row r="123" ht="15.95" customHeight="1" spans="1:60">
      <c r="A123" s="824"/>
      <c r="B123" s="825"/>
      <c r="C123" s="825"/>
      <c r="D123" s="826"/>
      <c r="E123" s="830"/>
      <c r="F123" s="831"/>
      <c r="G123" s="831"/>
      <c r="H123" s="832"/>
      <c r="I123" s="842" t="s">
        <v>1184</v>
      </c>
      <c r="J123" s="843"/>
      <c r="K123" s="843"/>
      <c r="L123" s="843"/>
      <c r="M123" s="843"/>
      <c r="N123" s="844"/>
      <c r="O123" s="842" t="s">
        <v>1185</v>
      </c>
      <c r="P123" s="843"/>
      <c r="Q123" s="843"/>
      <c r="R123" s="843"/>
      <c r="S123" s="843"/>
      <c r="T123" s="844"/>
      <c r="U123" s="842" t="s">
        <v>1185</v>
      </c>
      <c r="V123" s="843"/>
      <c r="W123" s="843"/>
      <c r="X123" s="843"/>
      <c r="Y123" s="843"/>
      <c r="Z123" s="844"/>
      <c r="AA123" s="842" t="s">
        <v>1185</v>
      </c>
      <c r="AB123" s="843"/>
      <c r="AC123" s="843"/>
      <c r="AD123" s="843"/>
      <c r="AE123" s="843"/>
      <c r="AF123" s="844"/>
      <c r="AG123" s="830"/>
      <c r="AH123" s="831"/>
      <c r="AI123" s="831"/>
      <c r="AJ123" s="832"/>
      <c r="AK123" s="842" t="s">
        <v>1184</v>
      </c>
      <c r="AL123" s="843"/>
      <c r="AM123" s="843"/>
      <c r="AN123" s="843"/>
      <c r="AO123" s="843"/>
      <c r="AP123" s="844"/>
      <c r="AQ123" s="842" t="s">
        <v>1184</v>
      </c>
      <c r="AR123" s="843"/>
      <c r="AS123" s="843"/>
      <c r="AT123" s="843"/>
      <c r="AU123" s="843"/>
      <c r="AV123" s="844"/>
      <c r="AW123" s="842" t="s">
        <v>1185</v>
      </c>
      <c r="AX123" s="843"/>
      <c r="AY123" s="843"/>
      <c r="AZ123" s="843"/>
      <c r="BA123" s="843"/>
      <c r="BB123" s="844"/>
      <c r="BC123" s="842" t="s">
        <v>1185</v>
      </c>
      <c r="BD123" s="843"/>
      <c r="BE123" s="843"/>
      <c r="BF123" s="843"/>
      <c r="BG123" s="843"/>
      <c r="BH123" s="873"/>
    </row>
    <row r="124" ht="15.95" customHeight="1" spans="1:60">
      <c r="A124" s="824"/>
      <c r="B124" s="825"/>
      <c r="C124" s="825"/>
      <c r="D124" s="826"/>
      <c r="E124" s="833" t="s">
        <v>830</v>
      </c>
      <c r="F124" s="833"/>
      <c r="G124" s="833"/>
      <c r="H124" s="833"/>
      <c r="I124" s="834" t="s">
        <v>1186</v>
      </c>
      <c r="J124" s="834"/>
      <c r="K124" s="834"/>
      <c r="L124" s="834"/>
      <c r="M124" s="834"/>
      <c r="N124" s="834"/>
      <c r="O124" s="845" t="s">
        <v>1187</v>
      </c>
      <c r="P124" s="845"/>
      <c r="Q124" s="845"/>
      <c r="R124" s="845"/>
      <c r="S124" s="845"/>
      <c r="T124" s="845"/>
      <c r="U124" s="834" t="s">
        <v>1188</v>
      </c>
      <c r="V124" s="834"/>
      <c r="W124" s="834"/>
      <c r="X124" s="834"/>
      <c r="Y124" s="834"/>
      <c r="Z124" s="834"/>
      <c r="AA124" s="834" t="s">
        <v>1189</v>
      </c>
      <c r="AB124" s="834"/>
      <c r="AC124" s="834"/>
      <c r="AD124" s="834"/>
      <c r="AE124" s="834"/>
      <c r="AF124" s="834"/>
      <c r="AG124" s="834"/>
      <c r="AH124" s="834"/>
      <c r="AI124" s="834"/>
      <c r="AJ124" s="834"/>
      <c r="AK124" s="834" t="s">
        <v>1190</v>
      </c>
      <c r="AL124" s="834"/>
      <c r="AM124" s="834"/>
      <c r="AN124" s="834"/>
      <c r="AO124" s="834"/>
      <c r="AP124" s="834"/>
      <c r="AQ124" s="845" t="s">
        <v>1191</v>
      </c>
      <c r="AR124" s="845"/>
      <c r="AS124" s="845"/>
      <c r="AT124" s="845"/>
      <c r="AU124" s="845"/>
      <c r="AV124" s="845"/>
      <c r="AW124" s="834" t="s">
        <v>1192</v>
      </c>
      <c r="AX124" s="834"/>
      <c r="AY124" s="834"/>
      <c r="AZ124" s="834"/>
      <c r="BA124" s="834"/>
      <c r="BB124" s="834"/>
      <c r="BC124" s="834" t="s">
        <v>1193</v>
      </c>
      <c r="BD124" s="834"/>
      <c r="BE124" s="834"/>
      <c r="BF124" s="834"/>
      <c r="BG124" s="834"/>
      <c r="BH124" s="834"/>
    </row>
    <row r="125" ht="15.95" customHeight="1" spans="1:60">
      <c r="A125" s="824"/>
      <c r="B125" s="825"/>
      <c r="C125" s="825"/>
      <c r="D125" s="826"/>
      <c r="E125" s="834" t="s">
        <v>832</v>
      </c>
      <c r="F125" s="834"/>
      <c r="G125" s="834"/>
      <c r="H125" s="834"/>
      <c r="I125" s="845" t="s">
        <v>1194</v>
      </c>
      <c r="J125" s="845"/>
      <c r="K125" s="845"/>
      <c r="L125" s="845"/>
      <c r="M125" s="845"/>
      <c r="N125" s="845"/>
      <c r="O125" s="834" t="s">
        <v>1195</v>
      </c>
      <c r="P125" s="834"/>
      <c r="Q125" s="834"/>
      <c r="R125" s="834"/>
      <c r="S125" s="834"/>
      <c r="T125" s="834"/>
      <c r="U125" s="834" t="s">
        <v>1196</v>
      </c>
      <c r="V125" s="834"/>
      <c r="W125" s="834"/>
      <c r="X125" s="834"/>
      <c r="Y125" s="834"/>
      <c r="Z125" s="834"/>
      <c r="AA125" s="834" t="s">
        <v>1197</v>
      </c>
      <c r="AB125" s="834"/>
      <c r="AC125" s="834"/>
      <c r="AD125" s="834"/>
      <c r="AE125" s="834"/>
      <c r="AF125" s="834"/>
      <c r="AG125" s="834"/>
      <c r="AH125" s="834"/>
      <c r="AI125" s="834"/>
      <c r="AJ125" s="834"/>
      <c r="AK125" s="845" t="s">
        <v>1198</v>
      </c>
      <c r="AL125" s="845"/>
      <c r="AM125" s="845"/>
      <c r="AN125" s="845"/>
      <c r="AO125" s="845"/>
      <c r="AP125" s="845"/>
      <c r="AQ125" s="834" t="s">
        <v>1199</v>
      </c>
      <c r="AR125" s="834"/>
      <c r="AS125" s="834"/>
      <c r="AT125" s="834"/>
      <c r="AU125" s="834"/>
      <c r="AV125" s="834"/>
      <c r="AW125" s="834" t="s">
        <v>1200</v>
      </c>
      <c r="AX125" s="834"/>
      <c r="AY125" s="834"/>
      <c r="AZ125" s="834"/>
      <c r="BA125" s="834"/>
      <c r="BB125" s="834"/>
      <c r="BC125" s="834" t="s">
        <v>1201</v>
      </c>
      <c r="BD125" s="834"/>
      <c r="BE125" s="834"/>
      <c r="BF125" s="834"/>
      <c r="BG125" s="834"/>
      <c r="BH125" s="874"/>
    </row>
    <row r="126" ht="15.95" customHeight="1" spans="1:60">
      <c r="A126" s="824"/>
      <c r="B126" s="825"/>
      <c r="C126" s="825"/>
      <c r="D126" s="826"/>
      <c r="E126" s="833" t="s">
        <v>834</v>
      </c>
      <c r="F126" s="833"/>
      <c r="G126" s="833"/>
      <c r="H126" s="833"/>
      <c r="I126" s="834" t="s">
        <v>1202</v>
      </c>
      <c r="J126" s="834"/>
      <c r="K126" s="834"/>
      <c r="L126" s="834"/>
      <c r="M126" s="834"/>
      <c r="N126" s="834"/>
      <c r="O126" s="845" t="s">
        <v>1203</v>
      </c>
      <c r="P126" s="845"/>
      <c r="Q126" s="845"/>
      <c r="R126" s="845"/>
      <c r="S126" s="845"/>
      <c r="T126" s="845"/>
      <c r="U126" s="845" t="s">
        <v>1204</v>
      </c>
      <c r="V126" s="845"/>
      <c r="W126" s="845"/>
      <c r="X126" s="845"/>
      <c r="Y126" s="845"/>
      <c r="Z126" s="845"/>
      <c r="AA126" s="834" t="s">
        <v>1205</v>
      </c>
      <c r="AB126" s="834"/>
      <c r="AC126" s="834"/>
      <c r="AD126" s="834"/>
      <c r="AE126" s="834"/>
      <c r="AF126" s="834"/>
      <c r="AG126" s="834"/>
      <c r="AH126" s="834"/>
      <c r="AI126" s="834"/>
      <c r="AJ126" s="834"/>
      <c r="AK126" s="834" t="s">
        <v>1206</v>
      </c>
      <c r="AL126" s="834"/>
      <c r="AM126" s="834"/>
      <c r="AN126" s="834"/>
      <c r="AO126" s="834"/>
      <c r="AP126" s="834"/>
      <c r="AQ126" s="845" t="s">
        <v>1207</v>
      </c>
      <c r="AR126" s="845"/>
      <c r="AS126" s="845"/>
      <c r="AT126" s="845"/>
      <c r="AU126" s="845"/>
      <c r="AV126" s="845"/>
      <c r="AW126" s="845" t="s">
        <v>1208</v>
      </c>
      <c r="AX126" s="845"/>
      <c r="AY126" s="845"/>
      <c r="AZ126" s="845"/>
      <c r="BA126" s="845"/>
      <c r="BB126" s="845"/>
      <c r="BC126" s="834" t="s">
        <v>1209</v>
      </c>
      <c r="BD126" s="834"/>
      <c r="BE126" s="834"/>
      <c r="BF126" s="834"/>
      <c r="BG126" s="834"/>
      <c r="BH126" s="834"/>
    </row>
    <row r="127" ht="15.95" customHeight="1" spans="1:60">
      <c r="A127" s="824"/>
      <c r="B127" s="825"/>
      <c r="C127" s="825"/>
      <c r="D127" s="826"/>
      <c r="E127" s="834" t="s">
        <v>836</v>
      </c>
      <c r="F127" s="834"/>
      <c r="G127" s="834"/>
      <c r="H127" s="834"/>
      <c r="I127" s="845" t="s">
        <v>1210</v>
      </c>
      <c r="J127" s="845"/>
      <c r="K127" s="845"/>
      <c r="L127" s="845"/>
      <c r="M127" s="845"/>
      <c r="N127" s="845"/>
      <c r="O127" s="845" t="s">
        <v>1211</v>
      </c>
      <c r="P127" s="845"/>
      <c r="Q127" s="845"/>
      <c r="R127" s="845"/>
      <c r="S127" s="845"/>
      <c r="T127" s="845"/>
      <c r="U127" s="834" t="s">
        <v>1212</v>
      </c>
      <c r="V127" s="834"/>
      <c r="W127" s="834"/>
      <c r="X127" s="834"/>
      <c r="Y127" s="834"/>
      <c r="Z127" s="834"/>
      <c r="AA127" s="834" t="s">
        <v>1213</v>
      </c>
      <c r="AB127" s="834"/>
      <c r="AC127" s="834"/>
      <c r="AD127" s="834"/>
      <c r="AE127" s="834"/>
      <c r="AF127" s="834"/>
      <c r="AG127" s="834"/>
      <c r="AH127" s="834"/>
      <c r="AI127" s="834"/>
      <c r="AJ127" s="834"/>
      <c r="AK127" s="845" t="s">
        <v>1214</v>
      </c>
      <c r="AL127" s="845"/>
      <c r="AM127" s="845"/>
      <c r="AN127" s="845"/>
      <c r="AO127" s="845"/>
      <c r="AP127" s="845"/>
      <c r="AQ127" s="845" t="s">
        <v>1215</v>
      </c>
      <c r="AR127" s="845"/>
      <c r="AS127" s="845"/>
      <c r="AT127" s="845"/>
      <c r="AU127" s="845"/>
      <c r="AV127" s="845"/>
      <c r="AW127" s="834" t="s">
        <v>1216</v>
      </c>
      <c r="AX127" s="834"/>
      <c r="AY127" s="834"/>
      <c r="AZ127" s="834"/>
      <c r="BA127" s="834"/>
      <c r="BB127" s="834"/>
      <c r="BC127" s="834" t="s">
        <v>1217</v>
      </c>
      <c r="BD127" s="834"/>
      <c r="BE127" s="834"/>
      <c r="BF127" s="834"/>
      <c r="BG127" s="834"/>
      <c r="BH127" s="874"/>
    </row>
    <row r="128" ht="15.95" customHeight="1" spans="1:60">
      <c r="A128" s="824"/>
      <c r="B128" s="825"/>
      <c r="C128" s="825"/>
      <c r="D128" s="826"/>
      <c r="E128" s="833" t="s">
        <v>838</v>
      </c>
      <c r="F128" s="833"/>
      <c r="G128" s="833"/>
      <c r="H128" s="833"/>
      <c r="I128" s="834" t="s">
        <v>1218</v>
      </c>
      <c r="J128" s="834"/>
      <c r="K128" s="834"/>
      <c r="L128" s="834"/>
      <c r="M128" s="834"/>
      <c r="N128" s="834"/>
      <c r="O128" s="845" t="s">
        <v>1219</v>
      </c>
      <c r="P128" s="845"/>
      <c r="Q128" s="845"/>
      <c r="R128" s="845"/>
      <c r="S128" s="845"/>
      <c r="T128" s="845"/>
      <c r="U128" s="834" t="s">
        <v>1220</v>
      </c>
      <c r="V128" s="834"/>
      <c r="W128" s="834"/>
      <c r="X128" s="834"/>
      <c r="Y128" s="834"/>
      <c r="Z128" s="834"/>
      <c r="AA128" s="834" t="s">
        <v>1221</v>
      </c>
      <c r="AB128" s="834"/>
      <c r="AC128" s="834"/>
      <c r="AD128" s="834"/>
      <c r="AE128" s="834"/>
      <c r="AF128" s="834"/>
      <c r="AG128" s="834"/>
      <c r="AH128" s="834"/>
      <c r="AI128" s="834"/>
      <c r="AJ128" s="834"/>
      <c r="AK128" s="834" t="s">
        <v>1222</v>
      </c>
      <c r="AL128" s="834"/>
      <c r="AM128" s="834"/>
      <c r="AN128" s="834"/>
      <c r="AO128" s="834"/>
      <c r="AP128" s="834"/>
      <c r="AQ128" s="845" t="s">
        <v>1223</v>
      </c>
      <c r="AR128" s="845"/>
      <c r="AS128" s="845"/>
      <c r="AT128" s="845"/>
      <c r="AU128" s="845"/>
      <c r="AV128" s="845"/>
      <c r="AW128" s="834" t="s">
        <v>1224</v>
      </c>
      <c r="AX128" s="834"/>
      <c r="AY128" s="834"/>
      <c r="AZ128" s="834"/>
      <c r="BA128" s="834"/>
      <c r="BB128" s="834"/>
      <c r="BC128" s="834" t="s">
        <v>1225</v>
      </c>
      <c r="BD128" s="834"/>
      <c r="BE128" s="834"/>
      <c r="BF128" s="834"/>
      <c r="BG128" s="834"/>
      <c r="BH128" s="834"/>
    </row>
    <row r="129" ht="15.95" customHeight="1" spans="1:60">
      <c r="A129" s="824"/>
      <c r="B129" s="825"/>
      <c r="C129" s="825"/>
      <c r="D129" s="826"/>
      <c r="E129" s="834" t="s">
        <v>840</v>
      </c>
      <c r="F129" s="834"/>
      <c r="G129" s="834"/>
      <c r="H129" s="834"/>
      <c r="I129" s="845" t="s">
        <v>1226</v>
      </c>
      <c r="J129" s="845"/>
      <c r="K129" s="845"/>
      <c r="L129" s="845"/>
      <c r="M129" s="845"/>
      <c r="N129" s="845"/>
      <c r="O129" s="834" t="s">
        <v>1227</v>
      </c>
      <c r="P129" s="834"/>
      <c r="Q129" s="834"/>
      <c r="R129" s="834"/>
      <c r="S129" s="834"/>
      <c r="T129" s="834"/>
      <c r="U129" s="834" t="s">
        <v>1228</v>
      </c>
      <c r="V129" s="834"/>
      <c r="W129" s="834"/>
      <c r="X129" s="834"/>
      <c r="Y129" s="834"/>
      <c r="Z129" s="834"/>
      <c r="AA129" s="834" t="s">
        <v>1229</v>
      </c>
      <c r="AB129" s="834"/>
      <c r="AC129" s="834"/>
      <c r="AD129" s="834"/>
      <c r="AE129" s="834"/>
      <c r="AF129" s="834"/>
      <c r="AG129" s="834"/>
      <c r="AH129" s="834"/>
      <c r="AI129" s="834"/>
      <c r="AJ129" s="834"/>
      <c r="AK129" s="845" t="s">
        <v>1230</v>
      </c>
      <c r="AL129" s="845"/>
      <c r="AM129" s="845"/>
      <c r="AN129" s="845"/>
      <c r="AO129" s="845"/>
      <c r="AP129" s="845"/>
      <c r="AQ129" s="834" t="s">
        <v>1231</v>
      </c>
      <c r="AR129" s="834"/>
      <c r="AS129" s="834"/>
      <c r="AT129" s="834"/>
      <c r="AU129" s="834"/>
      <c r="AV129" s="834"/>
      <c r="AW129" s="834" t="s">
        <v>1232</v>
      </c>
      <c r="AX129" s="834"/>
      <c r="AY129" s="834"/>
      <c r="AZ129" s="834"/>
      <c r="BA129" s="834"/>
      <c r="BB129" s="834"/>
      <c r="BC129" s="834" t="s">
        <v>1233</v>
      </c>
      <c r="BD129" s="834"/>
      <c r="BE129" s="834"/>
      <c r="BF129" s="834"/>
      <c r="BG129" s="834"/>
      <c r="BH129" s="874"/>
    </row>
    <row r="130" ht="15.95" customHeight="1" spans="1:60">
      <c r="A130" s="824"/>
      <c r="B130" s="825"/>
      <c r="C130" s="825"/>
      <c r="D130" s="826"/>
      <c r="E130" s="833" t="s">
        <v>842</v>
      </c>
      <c r="F130" s="833"/>
      <c r="G130" s="833"/>
      <c r="H130" s="833"/>
      <c r="I130" s="834" t="s">
        <v>1234</v>
      </c>
      <c r="J130" s="834"/>
      <c r="K130" s="834"/>
      <c r="L130" s="834"/>
      <c r="M130" s="834"/>
      <c r="N130" s="834"/>
      <c r="O130" s="845" t="s">
        <v>1235</v>
      </c>
      <c r="P130" s="845"/>
      <c r="Q130" s="845"/>
      <c r="R130" s="845"/>
      <c r="S130" s="845"/>
      <c r="T130" s="845"/>
      <c r="U130" s="845" t="s">
        <v>1236</v>
      </c>
      <c r="V130" s="845"/>
      <c r="W130" s="845"/>
      <c r="X130" s="845"/>
      <c r="Y130" s="845"/>
      <c r="Z130" s="845"/>
      <c r="AA130" s="834" t="s">
        <v>1237</v>
      </c>
      <c r="AB130" s="834"/>
      <c r="AC130" s="834"/>
      <c r="AD130" s="834"/>
      <c r="AE130" s="834"/>
      <c r="AF130" s="834"/>
      <c r="AG130" s="834"/>
      <c r="AH130" s="834"/>
      <c r="AI130" s="834"/>
      <c r="AJ130" s="834"/>
      <c r="AK130" s="834" t="s">
        <v>1238</v>
      </c>
      <c r="AL130" s="834"/>
      <c r="AM130" s="834"/>
      <c r="AN130" s="834"/>
      <c r="AO130" s="834"/>
      <c r="AP130" s="834"/>
      <c r="AQ130" s="845" t="s">
        <v>1239</v>
      </c>
      <c r="AR130" s="845"/>
      <c r="AS130" s="845"/>
      <c r="AT130" s="845"/>
      <c r="AU130" s="845"/>
      <c r="AV130" s="845"/>
      <c r="AW130" s="845" t="s">
        <v>1240</v>
      </c>
      <c r="AX130" s="845"/>
      <c r="AY130" s="845"/>
      <c r="AZ130" s="845"/>
      <c r="BA130" s="845"/>
      <c r="BB130" s="845"/>
      <c r="BC130" s="834" t="s">
        <v>1241</v>
      </c>
      <c r="BD130" s="834"/>
      <c r="BE130" s="834"/>
      <c r="BF130" s="834"/>
      <c r="BG130" s="834"/>
      <c r="BH130" s="834"/>
    </row>
    <row r="131" ht="15.95" customHeight="1" spans="1:60">
      <c r="A131" s="824"/>
      <c r="B131" s="825"/>
      <c r="C131" s="825"/>
      <c r="D131" s="826"/>
      <c r="E131" s="834" t="s">
        <v>844</v>
      </c>
      <c r="F131" s="834"/>
      <c r="G131" s="834"/>
      <c r="H131" s="834"/>
      <c r="I131" s="845" t="s">
        <v>1242</v>
      </c>
      <c r="J131" s="845"/>
      <c r="K131" s="845"/>
      <c r="L131" s="845"/>
      <c r="M131" s="845"/>
      <c r="N131" s="845"/>
      <c r="O131" s="845" t="s">
        <v>1243</v>
      </c>
      <c r="P131" s="845"/>
      <c r="Q131" s="845"/>
      <c r="R131" s="845"/>
      <c r="S131" s="845"/>
      <c r="T131" s="845"/>
      <c r="U131" s="834" t="s">
        <v>1244</v>
      </c>
      <c r="V131" s="834"/>
      <c r="W131" s="834"/>
      <c r="X131" s="834"/>
      <c r="Y131" s="834"/>
      <c r="Z131" s="834"/>
      <c r="AA131" s="834" t="s">
        <v>1245</v>
      </c>
      <c r="AB131" s="834"/>
      <c r="AC131" s="834"/>
      <c r="AD131" s="834"/>
      <c r="AE131" s="834"/>
      <c r="AF131" s="834"/>
      <c r="AG131" s="834"/>
      <c r="AH131" s="834"/>
      <c r="AI131" s="834"/>
      <c r="AJ131" s="834"/>
      <c r="AK131" s="845" t="s">
        <v>1246</v>
      </c>
      <c r="AL131" s="845"/>
      <c r="AM131" s="845"/>
      <c r="AN131" s="845"/>
      <c r="AO131" s="845"/>
      <c r="AP131" s="845"/>
      <c r="AQ131" s="845" t="s">
        <v>1247</v>
      </c>
      <c r="AR131" s="845"/>
      <c r="AS131" s="845"/>
      <c r="AT131" s="845"/>
      <c r="AU131" s="845"/>
      <c r="AV131" s="845"/>
      <c r="AW131" s="834" t="s">
        <v>1248</v>
      </c>
      <c r="AX131" s="834"/>
      <c r="AY131" s="834"/>
      <c r="AZ131" s="834"/>
      <c r="BA131" s="834"/>
      <c r="BB131" s="834"/>
      <c r="BC131" s="834" t="s">
        <v>1249</v>
      </c>
      <c r="BD131" s="834"/>
      <c r="BE131" s="834"/>
      <c r="BF131" s="834"/>
      <c r="BG131" s="834"/>
      <c r="BH131" s="874"/>
    </row>
    <row r="132" ht="15.95" customHeight="1" spans="1:60">
      <c r="A132" s="824"/>
      <c r="B132" s="825"/>
      <c r="C132" s="825"/>
      <c r="D132" s="826"/>
      <c r="E132" s="833" t="s">
        <v>846</v>
      </c>
      <c r="F132" s="833"/>
      <c r="G132" s="833"/>
      <c r="H132" s="833"/>
      <c r="I132" s="834" t="s">
        <v>1250</v>
      </c>
      <c r="J132" s="834"/>
      <c r="K132" s="834"/>
      <c r="L132" s="834"/>
      <c r="M132" s="834"/>
      <c r="N132" s="834"/>
      <c r="O132" s="845" t="s">
        <v>1251</v>
      </c>
      <c r="P132" s="845"/>
      <c r="Q132" s="845"/>
      <c r="R132" s="845"/>
      <c r="S132" s="845"/>
      <c r="T132" s="845"/>
      <c r="U132" s="834" t="s">
        <v>1252</v>
      </c>
      <c r="V132" s="834"/>
      <c r="W132" s="834"/>
      <c r="X132" s="834"/>
      <c r="Y132" s="834"/>
      <c r="Z132" s="834"/>
      <c r="AA132" s="834" t="s">
        <v>1253</v>
      </c>
      <c r="AB132" s="834"/>
      <c r="AC132" s="834"/>
      <c r="AD132" s="834"/>
      <c r="AE132" s="834"/>
      <c r="AF132" s="834"/>
      <c r="AG132" s="834"/>
      <c r="AH132" s="834"/>
      <c r="AI132" s="834"/>
      <c r="AJ132" s="834"/>
      <c r="AK132" s="834" t="s">
        <v>1254</v>
      </c>
      <c r="AL132" s="834"/>
      <c r="AM132" s="834"/>
      <c r="AN132" s="834"/>
      <c r="AO132" s="834"/>
      <c r="AP132" s="834"/>
      <c r="AQ132" s="845" t="s">
        <v>1255</v>
      </c>
      <c r="AR132" s="845"/>
      <c r="AS132" s="845"/>
      <c r="AT132" s="845"/>
      <c r="AU132" s="845"/>
      <c r="AV132" s="845"/>
      <c r="AW132" s="834" t="s">
        <v>1256</v>
      </c>
      <c r="AX132" s="834"/>
      <c r="AY132" s="834"/>
      <c r="AZ132" s="834"/>
      <c r="BA132" s="834"/>
      <c r="BB132" s="834"/>
      <c r="BC132" s="834" t="s">
        <v>1257</v>
      </c>
      <c r="BD132" s="834"/>
      <c r="BE132" s="834"/>
      <c r="BF132" s="834"/>
      <c r="BG132" s="834"/>
      <c r="BH132" s="834"/>
    </row>
    <row r="133" ht="15.95" customHeight="1" spans="1:60">
      <c r="A133" s="824"/>
      <c r="B133" s="825"/>
      <c r="C133" s="825"/>
      <c r="D133" s="826"/>
      <c r="E133" s="834" t="s">
        <v>848</v>
      </c>
      <c r="F133" s="834"/>
      <c r="G133" s="834"/>
      <c r="H133" s="834"/>
      <c r="I133" s="845" t="s">
        <v>1258</v>
      </c>
      <c r="J133" s="845"/>
      <c r="K133" s="845"/>
      <c r="L133" s="845"/>
      <c r="M133" s="845"/>
      <c r="N133" s="845"/>
      <c r="O133" s="834" t="s">
        <v>1259</v>
      </c>
      <c r="P133" s="834"/>
      <c r="Q133" s="834"/>
      <c r="R133" s="834"/>
      <c r="S133" s="834"/>
      <c r="T133" s="834"/>
      <c r="U133" s="834" t="s">
        <v>1260</v>
      </c>
      <c r="V133" s="834"/>
      <c r="W133" s="834"/>
      <c r="X133" s="834"/>
      <c r="Y133" s="834"/>
      <c r="Z133" s="834"/>
      <c r="AA133" s="834" t="s">
        <v>1261</v>
      </c>
      <c r="AB133" s="834"/>
      <c r="AC133" s="834"/>
      <c r="AD133" s="834"/>
      <c r="AE133" s="834"/>
      <c r="AF133" s="834"/>
      <c r="AG133" s="834"/>
      <c r="AH133" s="834"/>
      <c r="AI133" s="834"/>
      <c r="AJ133" s="834"/>
      <c r="AK133" s="845" t="s">
        <v>1262</v>
      </c>
      <c r="AL133" s="845"/>
      <c r="AM133" s="845"/>
      <c r="AN133" s="845"/>
      <c r="AO133" s="845"/>
      <c r="AP133" s="845"/>
      <c r="AQ133" s="834" t="s">
        <v>1263</v>
      </c>
      <c r="AR133" s="834"/>
      <c r="AS133" s="834"/>
      <c r="AT133" s="834"/>
      <c r="AU133" s="834"/>
      <c r="AV133" s="834"/>
      <c r="AW133" s="834" t="s">
        <v>1264</v>
      </c>
      <c r="AX133" s="834"/>
      <c r="AY133" s="834"/>
      <c r="AZ133" s="834"/>
      <c r="BA133" s="834"/>
      <c r="BB133" s="834"/>
      <c r="BC133" s="834" t="s">
        <v>1265</v>
      </c>
      <c r="BD133" s="834"/>
      <c r="BE133" s="834"/>
      <c r="BF133" s="834"/>
      <c r="BG133" s="834"/>
      <c r="BH133" s="874"/>
    </row>
    <row r="134" ht="15.95" customHeight="1" spans="1:60">
      <c r="A134" s="824"/>
      <c r="B134" s="825"/>
      <c r="C134" s="825"/>
      <c r="D134" s="826"/>
      <c r="E134" s="833" t="s">
        <v>850</v>
      </c>
      <c r="F134" s="833"/>
      <c r="G134" s="833"/>
      <c r="H134" s="833"/>
      <c r="I134" s="834" t="s">
        <v>1266</v>
      </c>
      <c r="J134" s="834"/>
      <c r="K134" s="834"/>
      <c r="L134" s="834"/>
      <c r="M134" s="834"/>
      <c r="N134" s="834"/>
      <c r="O134" s="845" t="s">
        <v>1267</v>
      </c>
      <c r="P134" s="845"/>
      <c r="Q134" s="845"/>
      <c r="R134" s="845"/>
      <c r="S134" s="845"/>
      <c r="T134" s="845"/>
      <c r="U134" s="845" t="s">
        <v>1268</v>
      </c>
      <c r="V134" s="845"/>
      <c r="W134" s="845"/>
      <c r="X134" s="845"/>
      <c r="Y134" s="845"/>
      <c r="Z134" s="845"/>
      <c r="AA134" s="834" t="s">
        <v>1269</v>
      </c>
      <c r="AB134" s="834"/>
      <c r="AC134" s="834"/>
      <c r="AD134" s="834"/>
      <c r="AE134" s="834"/>
      <c r="AF134" s="834"/>
      <c r="AG134" s="834"/>
      <c r="AH134" s="834"/>
      <c r="AI134" s="834"/>
      <c r="AJ134" s="834"/>
      <c r="AK134" s="834" t="s">
        <v>1270</v>
      </c>
      <c r="AL134" s="834"/>
      <c r="AM134" s="834"/>
      <c r="AN134" s="834"/>
      <c r="AO134" s="834"/>
      <c r="AP134" s="834"/>
      <c r="AQ134" s="845" t="s">
        <v>1271</v>
      </c>
      <c r="AR134" s="845"/>
      <c r="AS134" s="845"/>
      <c r="AT134" s="845"/>
      <c r="AU134" s="845"/>
      <c r="AV134" s="845"/>
      <c r="AW134" s="845" t="s">
        <v>1272</v>
      </c>
      <c r="AX134" s="845"/>
      <c r="AY134" s="845"/>
      <c r="AZ134" s="845"/>
      <c r="BA134" s="845"/>
      <c r="BB134" s="845"/>
      <c r="BC134" s="834" t="s">
        <v>1273</v>
      </c>
      <c r="BD134" s="834"/>
      <c r="BE134" s="834"/>
      <c r="BF134" s="834"/>
      <c r="BG134" s="834"/>
      <c r="BH134" s="834"/>
    </row>
    <row r="135" ht="15.95" customHeight="1" spans="1:60">
      <c r="A135" s="824"/>
      <c r="B135" s="825"/>
      <c r="C135" s="825"/>
      <c r="D135" s="826"/>
      <c r="E135" s="834" t="s">
        <v>852</v>
      </c>
      <c r="F135" s="834"/>
      <c r="G135" s="834"/>
      <c r="H135" s="834"/>
      <c r="I135" s="845" t="s">
        <v>1274</v>
      </c>
      <c r="J135" s="845"/>
      <c r="K135" s="845"/>
      <c r="L135" s="845"/>
      <c r="M135" s="845"/>
      <c r="N135" s="845"/>
      <c r="O135" s="845" t="s">
        <v>1275</v>
      </c>
      <c r="P135" s="845"/>
      <c r="Q135" s="845"/>
      <c r="R135" s="845"/>
      <c r="S135" s="845"/>
      <c r="T135" s="845"/>
      <c r="U135" s="834" t="s">
        <v>1276</v>
      </c>
      <c r="V135" s="834"/>
      <c r="W135" s="834"/>
      <c r="X135" s="834"/>
      <c r="Y135" s="834"/>
      <c r="Z135" s="834"/>
      <c r="AA135" s="834" t="s">
        <v>1277</v>
      </c>
      <c r="AB135" s="834"/>
      <c r="AC135" s="834"/>
      <c r="AD135" s="834"/>
      <c r="AE135" s="834"/>
      <c r="AF135" s="834"/>
      <c r="AG135" s="834"/>
      <c r="AH135" s="834"/>
      <c r="AI135" s="834"/>
      <c r="AJ135" s="834"/>
      <c r="AK135" s="845" t="s">
        <v>1278</v>
      </c>
      <c r="AL135" s="845"/>
      <c r="AM135" s="845"/>
      <c r="AN135" s="845"/>
      <c r="AO135" s="845"/>
      <c r="AP135" s="845"/>
      <c r="AQ135" s="845" t="s">
        <v>1279</v>
      </c>
      <c r="AR135" s="845"/>
      <c r="AS135" s="845"/>
      <c r="AT135" s="845"/>
      <c r="AU135" s="845"/>
      <c r="AV135" s="845"/>
      <c r="AW135" s="834" t="s">
        <v>1280</v>
      </c>
      <c r="AX135" s="834"/>
      <c r="AY135" s="834"/>
      <c r="AZ135" s="834"/>
      <c r="BA135" s="834"/>
      <c r="BB135" s="834"/>
      <c r="BC135" s="834" t="s">
        <v>1281</v>
      </c>
      <c r="BD135" s="834"/>
      <c r="BE135" s="834"/>
      <c r="BF135" s="834"/>
      <c r="BG135" s="834"/>
      <c r="BH135" s="874"/>
    </row>
    <row r="136" ht="15.95" customHeight="1" spans="1:60">
      <c r="A136" s="824"/>
      <c r="B136" s="825"/>
      <c r="C136" s="825"/>
      <c r="D136" s="826"/>
      <c r="E136" s="833" t="s">
        <v>854</v>
      </c>
      <c r="F136" s="833"/>
      <c r="G136" s="833"/>
      <c r="H136" s="833"/>
      <c r="I136" s="834" t="s">
        <v>1282</v>
      </c>
      <c r="J136" s="834"/>
      <c r="K136" s="834"/>
      <c r="L136" s="834"/>
      <c r="M136" s="834"/>
      <c r="N136" s="834"/>
      <c r="O136" s="845" t="s">
        <v>1283</v>
      </c>
      <c r="P136" s="845"/>
      <c r="Q136" s="845"/>
      <c r="R136" s="845"/>
      <c r="S136" s="845"/>
      <c r="T136" s="845"/>
      <c r="U136" s="834" t="s">
        <v>1284</v>
      </c>
      <c r="V136" s="834"/>
      <c r="W136" s="834"/>
      <c r="X136" s="834"/>
      <c r="Y136" s="834"/>
      <c r="Z136" s="834"/>
      <c r="AA136" s="834" t="s">
        <v>1285</v>
      </c>
      <c r="AB136" s="834"/>
      <c r="AC136" s="834"/>
      <c r="AD136" s="834"/>
      <c r="AE136" s="834"/>
      <c r="AF136" s="834"/>
      <c r="AG136" s="834"/>
      <c r="AH136" s="834"/>
      <c r="AI136" s="834"/>
      <c r="AJ136" s="834"/>
      <c r="AK136" s="834" t="s">
        <v>1286</v>
      </c>
      <c r="AL136" s="834"/>
      <c r="AM136" s="834"/>
      <c r="AN136" s="834"/>
      <c r="AO136" s="834"/>
      <c r="AP136" s="834"/>
      <c r="AQ136" s="845" t="s">
        <v>1287</v>
      </c>
      <c r="AR136" s="845"/>
      <c r="AS136" s="845"/>
      <c r="AT136" s="845"/>
      <c r="AU136" s="845"/>
      <c r="AV136" s="845"/>
      <c r="AW136" s="834" t="s">
        <v>1288</v>
      </c>
      <c r="AX136" s="834"/>
      <c r="AY136" s="834"/>
      <c r="AZ136" s="834"/>
      <c r="BA136" s="834"/>
      <c r="BB136" s="834"/>
      <c r="BC136" s="834" t="s">
        <v>1289</v>
      </c>
      <c r="BD136" s="834"/>
      <c r="BE136" s="834"/>
      <c r="BF136" s="834"/>
      <c r="BG136" s="834"/>
      <c r="BH136" s="834"/>
    </row>
    <row r="137" ht="15.95" customHeight="1" spans="1:60">
      <c r="A137" s="824"/>
      <c r="B137" s="825"/>
      <c r="C137" s="825"/>
      <c r="D137" s="826"/>
      <c r="E137" s="834" t="s">
        <v>856</v>
      </c>
      <c r="F137" s="834"/>
      <c r="G137" s="834"/>
      <c r="H137" s="834"/>
      <c r="I137" s="845" t="s">
        <v>1290</v>
      </c>
      <c r="J137" s="845"/>
      <c r="K137" s="845"/>
      <c r="L137" s="845"/>
      <c r="M137" s="845"/>
      <c r="N137" s="845"/>
      <c r="O137" s="834" t="s">
        <v>1291</v>
      </c>
      <c r="P137" s="834"/>
      <c r="Q137" s="834"/>
      <c r="R137" s="834"/>
      <c r="S137" s="834"/>
      <c r="T137" s="834"/>
      <c r="U137" s="834" t="s">
        <v>1292</v>
      </c>
      <c r="V137" s="834"/>
      <c r="W137" s="834"/>
      <c r="X137" s="834"/>
      <c r="Y137" s="834"/>
      <c r="Z137" s="834"/>
      <c r="AA137" s="834" t="s">
        <v>1293</v>
      </c>
      <c r="AB137" s="834"/>
      <c r="AC137" s="834"/>
      <c r="AD137" s="834"/>
      <c r="AE137" s="834"/>
      <c r="AF137" s="834"/>
      <c r="AG137" s="834"/>
      <c r="AH137" s="834"/>
      <c r="AI137" s="834"/>
      <c r="AJ137" s="834"/>
      <c r="AK137" s="845" t="s">
        <v>1294</v>
      </c>
      <c r="AL137" s="845"/>
      <c r="AM137" s="845"/>
      <c r="AN137" s="845"/>
      <c r="AO137" s="845"/>
      <c r="AP137" s="845"/>
      <c r="AQ137" s="834" t="s">
        <v>1295</v>
      </c>
      <c r="AR137" s="834"/>
      <c r="AS137" s="834"/>
      <c r="AT137" s="834"/>
      <c r="AU137" s="834"/>
      <c r="AV137" s="834"/>
      <c r="AW137" s="834" t="s">
        <v>1296</v>
      </c>
      <c r="AX137" s="834"/>
      <c r="AY137" s="834"/>
      <c r="AZ137" s="834"/>
      <c r="BA137" s="834"/>
      <c r="BB137" s="834"/>
      <c r="BC137" s="834" t="s">
        <v>1297</v>
      </c>
      <c r="BD137" s="834"/>
      <c r="BE137" s="834"/>
      <c r="BF137" s="834"/>
      <c r="BG137" s="834"/>
      <c r="BH137" s="874"/>
    </row>
    <row r="138" ht="15.95" customHeight="1" spans="1:60">
      <c r="A138" s="824"/>
      <c r="B138" s="825"/>
      <c r="C138" s="825"/>
      <c r="D138" s="826"/>
      <c r="E138" s="833" t="s">
        <v>858</v>
      </c>
      <c r="F138" s="833"/>
      <c r="G138" s="833"/>
      <c r="H138" s="833"/>
      <c r="I138" s="834" t="s">
        <v>1298</v>
      </c>
      <c r="J138" s="834"/>
      <c r="K138" s="834"/>
      <c r="L138" s="834"/>
      <c r="M138" s="834"/>
      <c r="N138" s="834"/>
      <c r="O138" s="845" t="s">
        <v>1299</v>
      </c>
      <c r="P138" s="845"/>
      <c r="Q138" s="845"/>
      <c r="R138" s="845"/>
      <c r="S138" s="845"/>
      <c r="T138" s="845"/>
      <c r="U138" s="845" t="s">
        <v>1300</v>
      </c>
      <c r="V138" s="845"/>
      <c r="W138" s="845"/>
      <c r="X138" s="845"/>
      <c r="Y138" s="845"/>
      <c r="Z138" s="845"/>
      <c r="AA138" s="834" t="s">
        <v>1301</v>
      </c>
      <c r="AB138" s="834"/>
      <c r="AC138" s="834"/>
      <c r="AD138" s="834"/>
      <c r="AE138" s="834"/>
      <c r="AF138" s="834"/>
      <c r="AG138" s="834"/>
      <c r="AH138" s="834"/>
      <c r="AI138" s="834"/>
      <c r="AJ138" s="834"/>
      <c r="AK138" s="834" t="s">
        <v>1302</v>
      </c>
      <c r="AL138" s="834"/>
      <c r="AM138" s="834"/>
      <c r="AN138" s="834"/>
      <c r="AO138" s="834"/>
      <c r="AP138" s="834"/>
      <c r="AQ138" s="845" t="s">
        <v>1303</v>
      </c>
      <c r="AR138" s="845"/>
      <c r="AS138" s="845"/>
      <c r="AT138" s="845"/>
      <c r="AU138" s="845"/>
      <c r="AV138" s="845"/>
      <c r="AW138" s="845" t="s">
        <v>1304</v>
      </c>
      <c r="AX138" s="845"/>
      <c r="AY138" s="845"/>
      <c r="AZ138" s="845"/>
      <c r="BA138" s="845"/>
      <c r="BB138" s="845"/>
      <c r="BC138" s="834" t="s">
        <v>1305</v>
      </c>
      <c r="BD138" s="834"/>
      <c r="BE138" s="834"/>
      <c r="BF138" s="834"/>
      <c r="BG138" s="834"/>
      <c r="BH138" s="834"/>
    </row>
    <row r="139" ht="15.95" customHeight="1" spans="1:60">
      <c r="A139" s="824"/>
      <c r="B139" s="825"/>
      <c r="C139" s="825"/>
      <c r="D139" s="826"/>
      <c r="E139" s="834" t="s">
        <v>860</v>
      </c>
      <c r="F139" s="834"/>
      <c r="G139" s="834"/>
      <c r="H139" s="834"/>
      <c r="I139" s="845" t="s">
        <v>1306</v>
      </c>
      <c r="J139" s="845"/>
      <c r="K139" s="845"/>
      <c r="L139" s="845"/>
      <c r="M139" s="845"/>
      <c r="N139" s="845"/>
      <c r="O139" s="845" t="s">
        <v>1307</v>
      </c>
      <c r="P139" s="845"/>
      <c r="Q139" s="845"/>
      <c r="R139" s="845"/>
      <c r="S139" s="845"/>
      <c r="T139" s="845"/>
      <c r="U139" s="834" t="s">
        <v>1308</v>
      </c>
      <c r="V139" s="834"/>
      <c r="W139" s="834"/>
      <c r="X139" s="834"/>
      <c r="Y139" s="834"/>
      <c r="Z139" s="834"/>
      <c r="AA139" s="834" t="s">
        <v>1309</v>
      </c>
      <c r="AB139" s="834"/>
      <c r="AC139" s="834"/>
      <c r="AD139" s="834"/>
      <c r="AE139" s="834"/>
      <c r="AF139" s="834"/>
      <c r="AG139" s="834"/>
      <c r="AH139" s="834"/>
      <c r="AI139" s="834"/>
      <c r="AJ139" s="834"/>
      <c r="AK139" s="845" t="s">
        <v>1310</v>
      </c>
      <c r="AL139" s="845"/>
      <c r="AM139" s="845"/>
      <c r="AN139" s="845"/>
      <c r="AO139" s="845"/>
      <c r="AP139" s="845"/>
      <c r="AQ139" s="845" t="s">
        <v>1311</v>
      </c>
      <c r="AR139" s="845"/>
      <c r="AS139" s="845"/>
      <c r="AT139" s="845"/>
      <c r="AU139" s="845"/>
      <c r="AV139" s="845"/>
      <c r="AW139" s="834" t="s">
        <v>1312</v>
      </c>
      <c r="AX139" s="834"/>
      <c r="AY139" s="834"/>
      <c r="AZ139" s="834"/>
      <c r="BA139" s="834"/>
      <c r="BB139" s="834"/>
      <c r="BC139" s="834" t="s">
        <v>1313</v>
      </c>
      <c r="BD139" s="834"/>
      <c r="BE139" s="834"/>
      <c r="BF139" s="834"/>
      <c r="BG139" s="834"/>
      <c r="BH139" s="874"/>
    </row>
    <row r="140" ht="15.95" customHeight="1" spans="1:60">
      <c r="A140" s="824"/>
      <c r="B140" s="825"/>
      <c r="C140" s="825"/>
      <c r="D140" s="826"/>
      <c r="E140" s="833" t="s">
        <v>862</v>
      </c>
      <c r="F140" s="833"/>
      <c r="G140" s="833"/>
      <c r="H140" s="833"/>
      <c r="I140" s="834" t="s">
        <v>1314</v>
      </c>
      <c r="J140" s="834"/>
      <c r="K140" s="834"/>
      <c r="L140" s="834"/>
      <c r="M140" s="834"/>
      <c r="N140" s="834"/>
      <c r="O140" s="845" t="s">
        <v>1315</v>
      </c>
      <c r="P140" s="845"/>
      <c r="Q140" s="845"/>
      <c r="R140" s="845"/>
      <c r="S140" s="845"/>
      <c r="T140" s="845"/>
      <c r="U140" s="834" t="s">
        <v>1316</v>
      </c>
      <c r="V140" s="834"/>
      <c r="W140" s="834"/>
      <c r="X140" s="834"/>
      <c r="Y140" s="834"/>
      <c r="Z140" s="834"/>
      <c r="AA140" s="834" t="s">
        <v>1317</v>
      </c>
      <c r="AB140" s="834"/>
      <c r="AC140" s="834"/>
      <c r="AD140" s="834"/>
      <c r="AE140" s="834"/>
      <c r="AF140" s="834"/>
      <c r="AG140" s="834"/>
      <c r="AH140" s="834"/>
      <c r="AI140" s="834"/>
      <c r="AJ140" s="834"/>
      <c r="AK140" s="834" t="s">
        <v>1318</v>
      </c>
      <c r="AL140" s="834"/>
      <c r="AM140" s="834"/>
      <c r="AN140" s="834"/>
      <c r="AO140" s="834"/>
      <c r="AP140" s="834"/>
      <c r="AQ140" s="845" t="s">
        <v>1319</v>
      </c>
      <c r="AR140" s="845"/>
      <c r="AS140" s="845"/>
      <c r="AT140" s="845"/>
      <c r="AU140" s="845"/>
      <c r="AV140" s="845"/>
      <c r="AW140" s="834" t="s">
        <v>1320</v>
      </c>
      <c r="AX140" s="834"/>
      <c r="AY140" s="834"/>
      <c r="AZ140" s="834"/>
      <c r="BA140" s="834"/>
      <c r="BB140" s="834"/>
      <c r="BC140" s="834" t="s">
        <v>1321</v>
      </c>
      <c r="BD140" s="834"/>
      <c r="BE140" s="834"/>
      <c r="BF140" s="834"/>
      <c r="BG140" s="834"/>
      <c r="BH140" s="834"/>
    </row>
    <row r="141" ht="15.95" customHeight="1" spans="1:60">
      <c r="A141" s="824"/>
      <c r="B141" s="825"/>
      <c r="C141" s="825"/>
      <c r="D141" s="826"/>
      <c r="E141" s="834" t="s">
        <v>864</v>
      </c>
      <c r="F141" s="834"/>
      <c r="G141" s="834"/>
      <c r="H141" s="834"/>
      <c r="I141" s="845" t="s">
        <v>1322</v>
      </c>
      <c r="J141" s="845"/>
      <c r="K141" s="845"/>
      <c r="L141" s="845"/>
      <c r="M141" s="845"/>
      <c r="N141" s="845"/>
      <c r="O141" s="834" t="s">
        <v>1323</v>
      </c>
      <c r="P141" s="834"/>
      <c r="Q141" s="834"/>
      <c r="R141" s="834"/>
      <c r="S141" s="834"/>
      <c r="T141" s="834"/>
      <c r="U141" s="834" t="s">
        <v>1324</v>
      </c>
      <c r="V141" s="834"/>
      <c r="W141" s="834"/>
      <c r="X141" s="834"/>
      <c r="Y141" s="834"/>
      <c r="Z141" s="834"/>
      <c r="AA141" s="834" t="s">
        <v>1325</v>
      </c>
      <c r="AB141" s="834"/>
      <c r="AC141" s="834"/>
      <c r="AD141" s="834"/>
      <c r="AE141" s="834"/>
      <c r="AF141" s="834"/>
      <c r="AG141" s="834"/>
      <c r="AH141" s="834"/>
      <c r="AI141" s="834"/>
      <c r="AJ141" s="834"/>
      <c r="AK141" s="845" t="s">
        <v>1326</v>
      </c>
      <c r="AL141" s="845"/>
      <c r="AM141" s="845"/>
      <c r="AN141" s="845"/>
      <c r="AO141" s="845"/>
      <c r="AP141" s="845"/>
      <c r="AQ141" s="834" t="s">
        <v>1327</v>
      </c>
      <c r="AR141" s="834"/>
      <c r="AS141" s="834"/>
      <c r="AT141" s="834"/>
      <c r="AU141" s="834"/>
      <c r="AV141" s="834"/>
      <c r="AW141" s="834" t="s">
        <v>1328</v>
      </c>
      <c r="AX141" s="834"/>
      <c r="AY141" s="834"/>
      <c r="AZ141" s="834"/>
      <c r="BA141" s="834"/>
      <c r="BB141" s="834"/>
      <c r="BC141" s="834" t="s">
        <v>1329</v>
      </c>
      <c r="BD141" s="834"/>
      <c r="BE141" s="834"/>
      <c r="BF141" s="834"/>
      <c r="BG141" s="834"/>
      <c r="BH141" s="874"/>
    </row>
    <row r="142" ht="15.95" customHeight="1" spans="1:60">
      <c r="A142" s="824"/>
      <c r="B142" s="825"/>
      <c r="C142" s="825"/>
      <c r="D142" s="826"/>
      <c r="E142" s="833" t="s">
        <v>866</v>
      </c>
      <c r="F142" s="833"/>
      <c r="G142" s="833"/>
      <c r="H142" s="833"/>
      <c r="I142" s="834" t="s">
        <v>1330</v>
      </c>
      <c r="J142" s="834"/>
      <c r="K142" s="834"/>
      <c r="L142" s="834"/>
      <c r="M142" s="834"/>
      <c r="N142" s="834"/>
      <c r="O142" s="845" t="s">
        <v>1331</v>
      </c>
      <c r="P142" s="845"/>
      <c r="Q142" s="845"/>
      <c r="R142" s="845"/>
      <c r="S142" s="845"/>
      <c r="T142" s="845"/>
      <c r="U142" s="845" t="s">
        <v>1332</v>
      </c>
      <c r="V142" s="845"/>
      <c r="W142" s="845"/>
      <c r="X142" s="845"/>
      <c r="Y142" s="845"/>
      <c r="Z142" s="845"/>
      <c r="AA142" s="834" t="s">
        <v>1333</v>
      </c>
      <c r="AB142" s="834"/>
      <c r="AC142" s="834"/>
      <c r="AD142" s="834"/>
      <c r="AE142" s="834"/>
      <c r="AF142" s="834"/>
      <c r="AG142" s="834"/>
      <c r="AH142" s="834"/>
      <c r="AI142" s="834"/>
      <c r="AJ142" s="834"/>
      <c r="AK142" s="834" t="s">
        <v>1334</v>
      </c>
      <c r="AL142" s="834"/>
      <c r="AM142" s="834"/>
      <c r="AN142" s="834"/>
      <c r="AO142" s="834"/>
      <c r="AP142" s="834"/>
      <c r="AQ142" s="845" t="s">
        <v>1335</v>
      </c>
      <c r="AR142" s="845"/>
      <c r="AS142" s="845"/>
      <c r="AT142" s="845"/>
      <c r="AU142" s="845"/>
      <c r="AV142" s="845"/>
      <c r="AW142" s="845" t="s">
        <v>1336</v>
      </c>
      <c r="AX142" s="845"/>
      <c r="AY142" s="845"/>
      <c r="AZ142" s="845"/>
      <c r="BA142" s="845"/>
      <c r="BB142" s="845"/>
      <c r="BC142" s="834" t="s">
        <v>1337</v>
      </c>
      <c r="BD142" s="834"/>
      <c r="BE142" s="834"/>
      <c r="BF142" s="834"/>
      <c r="BG142" s="834"/>
      <c r="BH142" s="834"/>
    </row>
    <row r="143" ht="15.95" customHeight="1" spans="1:60">
      <c r="A143" s="824"/>
      <c r="B143" s="825"/>
      <c r="C143" s="825"/>
      <c r="D143" s="826"/>
      <c r="E143" s="834" t="s">
        <v>868</v>
      </c>
      <c r="F143" s="834"/>
      <c r="G143" s="834"/>
      <c r="H143" s="834"/>
      <c r="I143" s="845" t="s">
        <v>1338</v>
      </c>
      <c r="J143" s="845"/>
      <c r="K143" s="845"/>
      <c r="L143" s="845"/>
      <c r="M143" s="845"/>
      <c r="N143" s="845"/>
      <c r="O143" s="845" t="s">
        <v>1339</v>
      </c>
      <c r="P143" s="845"/>
      <c r="Q143" s="845"/>
      <c r="R143" s="845"/>
      <c r="S143" s="845"/>
      <c r="T143" s="845"/>
      <c r="U143" s="834" t="s">
        <v>1340</v>
      </c>
      <c r="V143" s="834"/>
      <c r="W143" s="834"/>
      <c r="X143" s="834"/>
      <c r="Y143" s="834"/>
      <c r="Z143" s="834"/>
      <c r="AA143" s="834" t="s">
        <v>1341</v>
      </c>
      <c r="AB143" s="834"/>
      <c r="AC143" s="834"/>
      <c r="AD143" s="834"/>
      <c r="AE143" s="834"/>
      <c r="AF143" s="834"/>
      <c r="AG143" s="834"/>
      <c r="AH143" s="834"/>
      <c r="AI143" s="834"/>
      <c r="AJ143" s="834"/>
      <c r="AK143" s="845" t="s">
        <v>1342</v>
      </c>
      <c r="AL143" s="845"/>
      <c r="AM143" s="845"/>
      <c r="AN143" s="845"/>
      <c r="AO143" s="845"/>
      <c r="AP143" s="845"/>
      <c r="AQ143" s="845" t="s">
        <v>1343</v>
      </c>
      <c r="AR143" s="845"/>
      <c r="AS143" s="845"/>
      <c r="AT143" s="845"/>
      <c r="AU143" s="845"/>
      <c r="AV143" s="845"/>
      <c r="AW143" s="834" t="s">
        <v>1344</v>
      </c>
      <c r="AX143" s="834"/>
      <c r="AY143" s="834"/>
      <c r="AZ143" s="834"/>
      <c r="BA143" s="834"/>
      <c r="BB143" s="834"/>
      <c r="BC143" s="834" t="s">
        <v>1345</v>
      </c>
      <c r="BD143" s="834"/>
      <c r="BE143" s="834"/>
      <c r="BF143" s="834"/>
      <c r="BG143" s="834"/>
      <c r="BH143" s="874"/>
    </row>
    <row r="144" ht="15.95" customHeight="1" spans="1:60">
      <c r="A144" s="819" t="s">
        <v>1346</v>
      </c>
      <c r="B144" s="819"/>
      <c r="C144" s="819"/>
      <c r="D144" s="820"/>
      <c r="E144" s="821" t="s">
        <v>1347</v>
      </c>
      <c r="F144" s="822"/>
      <c r="G144" s="822"/>
      <c r="H144" s="823"/>
      <c r="I144" s="839" t="s">
        <v>1348</v>
      </c>
      <c r="J144" s="839"/>
      <c r="K144" s="839"/>
      <c r="L144" s="839"/>
      <c r="M144" s="839"/>
      <c r="N144" s="839"/>
      <c r="O144" s="839"/>
      <c r="P144" s="839"/>
      <c r="Q144" s="839"/>
      <c r="R144" s="839"/>
      <c r="S144" s="839"/>
      <c r="T144" s="839"/>
      <c r="U144" s="839"/>
      <c r="V144" s="839"/>
      <c r="W144" s="839"/>
      <c r="X144" s="839"/>
      <c r="Y144" s="839"/>
      <c r="Z144" s="839"/>
      <c r="AA144" s="839" t="s">
        <v>1349</v>
      </c>
      <c r="AB144" s="839"/>
      <c r="AC144" s="839"/>
      <c r="AD144" s="839"/>
      <c r="AE144" s="839"/>
      <c r="AF144" s="839"/>
      <c r="AG144" s="839"/>
      <c r="AH144" s="839"/>
      <c r="AI144" s="839"/>
      <c r="AJ144" s="839"/>
      <c r="AK144" s="839" t="s">
        <v>1346</v>
      </c>
      <c r="AL144" s="839"/>
      <c r="AM144" s="839"/>
      <c r="AN144" s="839"/>
      <c r="AO144" s="839"/>
      <c r="AP144" s="839"/>
      <c r="AQ144" s="839"/>
      <c r="AR144" s="839"/>
      <c r="AS144" s="839"/>
      <c r="AT144" s="839"/>
      <c r="AU144" s="839"/>
      <c r="AV144" s="839"/>
      <c r="AW144" s="839"/>
      <c r="AX144" s="839"/>
      <c r="AY144" s="839"/>
      <c r="AZ144" s="839"/>
      <c r="BA144" s="839"/>
      <c r="BB144" s="839"/>
      <c r="BC144" s="839"/>
      <c r="BD144" s="839"/>
      <c r="BE144" s="839"/>
      <c r="BF144" s="839"/>
      <c r="BG144" s="839"/>
      <c r="BH144" s="839"/>
    </row>
    <row r="145" ht="15.95" customHeight="1" spans="1:60">
      <c r="A145" s="825"/>
      <c r="B145" s="825"/>
      <c r="C145" s="825"/>
      <c r="D145" s="826"/>
      <c r="E145" s="827"/>
      <c r="F145" s="828"/>
      <c r="G145" s="828"/>
      <c r="H145" s="829"/>
      <c r="I145" s="840" t="s">
        <v>1350</v>
      </c>
      <c r="J145" s="841"/>
      <c r="K145" s="841"/>
      <c r="L145" s="841"/>
      <c r="M145" s="841"/>
      <c r="N145" s="841"/>
      <c r="O145" s="840" t="s">
        <v>1125</v>
      </c>
      <c r="P145" s="841"/>
      <c r="Q145" s="841"/>
      <c r="R145" s="841"/>
      <c r="S145" s="841"/>
      <c r="T145" s="841"/>
      <c r="U145" s="852" t="s">
        <v>1351</v>
      </c>
      <c r="V145" s="839"/>
      <c r="W145" s="839"/>
      <c r="X145" s="839"/>
      <c r="Y145" s="839"/>
      <c r="Z145" s="839"/>
      <c r="AA145" s="852" t="s">
        <v>1352</v>
      </c>
      <c r="AB145" s="839"/>
      <c r="AC145" s="839"/>
      <c r="AD145" s="839"/>
      <c r="AE145" s="839"/>
      <c r="AF145" s="839"/>
      <c r="AG145" s="893" t="s">
        <v>1353</v>
      </c>
      <c r="AH145" s="894"/>
      <c r="AI145" s="893" t="s">
        <v>1354</v>
      </c>
      <c r="AJ145" s="894"/>
      <c r="AK145" s="840" t="s">
        <v>1355</v>
      </c>
      <c r="AL145" s="841"/>
      <c r="AM145" s="841"/>
      <c r="AN145" s="841"/>
      <c r="AO145" s="841"/>
      <c r="AP145" s="841"/>
      <c r="AQ145" s="840" t="s">
        <v>755</v>
      </c>
      <c r="AR145" s="841"/>
      <c r="AS145" s="841"/>
      <c r="AT145" s="841"/>
      <c r="AU145" s="841"/>
      <c r="AV145" s="841"/>
      <c r="AW145" s="852" t="s">
        <v>1024</v>
      </c>
      <c r="AX145" s="839"/>
      <c r="AY145" s="839"/>
      <c r="AZ145" s="839"/>
      <c r="BA145" s="839"/>
      <c r="BB145" s="839"/>
      <c r="BC145" s="852" t="s">
        <v>870</v>
      </c>
      <c r="BD145" s="839"/>
      <c r="BE145" s="839"/>
      <c r="BF145" s="839"/>
      <c r="BG145" s="839"/>
      <c r="BH145" s="872"/>
    </row>
    <row r="146" ht="15.95" customHeight="1" spans="1:60">
      <c r="A146" s="825"/>
      <c r="B146" s="825"/>
      <c r="C146" s="825"/>
      <c r="D146" s="826"/>
      <c r="E146" s="830"/>
      <c r="F146" s="831"/>
      <c r="G146" s="831"/>
      <c r="H146" s="832"/>
      <c r="I146" s="887"/>
      <c r="J146" s="887"/>
      <c r="K146" s="887"/>
      <c r="L146" s="887"/>
      <c r="M146" s="887"/>
      <c r="N146" s="887"/>
      <c r="O146" s="887" t="s">
        <v>1184</v>
      </c>
      <c r="P146" s="887"/>
      <c r="Q146" s="887"/>
      <c r="R146" s="887"/>
      <c r="S146" s="887"/>
      <c r="T146" s="887"/>
      <c r="U146" s="887" t="s">
        <v>1184</v>
      </c>
      <c r="V146" s="887"/>
      <c r="W146" s="887"/>
      <c r="X146" s="887"/>
      <c r="Y146" s="887"/>
      <c r="Z146" s="887"/>
      <c r="AA146" s="887"/>
      <c r="AB146" s="887"/>
      <c r="AC146" s="887"/>
      <c r="AD146" s="887"/>
      <c r="AE146" s="887"/>
      <c r="AF146" s="887"/>
      <c r="AG146" s="842"/>
      <c r="AH146" s="844"/>
      <c r="AI146" s="842"/>
      <c r="AJ146" s="844"/>
      <c r="AK146" s="842" t="s">
        <v>1184</v>
      </c>
      <c r="AL146" s="843"/>
      <c r="AM146" s="843"/>
      <c r="AN146" s="843"/>
      <c r="AO146" s="843"/>
      <c r="AP146" s="844"/>
      <c r="AQ146" s="842" t="s">
        <v>1356</v>
      </c>
      <c r="AR146" s="843"/>
      <c r="AS146" s="843"/>
      <c r="AT146" s="843"/>
      <c r="AU146" s="843"/>
      <c r="AV146" s="844"/>
      <c r="AW146" s="842" t="s">
        <v>1357</v>
      </c>
      <c r="AX146" s="843"/>
      <c r="AY146" s="843"/>
      <c r="AZ146" s="843"/>
      <c r="BA146" s="843"/>
      <c r="BB146" s="844"/>
      <c r="BC146" s="842" t="s">
        <v>1185</v>
      </c>
      <c r="BD146" s="843"/>
      <c r="BE146" s="843"/>
      <c r="BF146" s="843"/>
      <c r="BG146" s="843"/>
      <c r="BH146" s="873"/>
    </row>
    <row r="147" ht="15.95" customHeight="1" spans="1:60">
      <c r="A147" s="825"/>
      <c r="B147" s="825"/>
      <c r="C147" s="825"/>
      <c r="D147" s="826"/>
      <c r="E147" s="833" t="s">
        <v>1358</v>
      </c>
      <c r="F147" s="833"/>
      <c r="G147" s="833"/>
      <c r="H147" s="833"/>
      <c r="I147" s="834" t="s">
        <v>1359</v>
      </c>
      <c r="J147" s="834"/>
      <c r="K147" s="834"/>
      <c r="L147" s="834"/>
      <c r="M147" s="834"/>
      <c r="N147" s="834"/>
      <c r="O147" s="845" t="s">
        <v>1360</v>
      </c>
      <c r="P147" s="845"/>
      <c r="Q147" s="845"/>
      <c r="R147" s="845"/>
      <c r="S147" s="845"/>
      <c r="T147" s="845"/>
      <c r="U147" s="834" t="s">
        <v>1361</v>
      </c>
      <c r="V147" s="834"/>
      <c r="W147" s="834"/>
      <c r="X147" s="834"/>
      <c r="Y147" s="834"/>
      <c r="Z147" s="834"/>
      <c r="AA147" s="834" t="s">
        <v>1362</v>
      </c>
      <c r="AB147" s="834"/>
      <c r="AC147" s="834"/>
      <c r="AD147" s="834"/>
      <c r="AE147" s="834"/>
      <c r="AF147" s="834"/>
      <c r="AG147" s="834" t="s">
        <v>1363</v>
      </c>
      <c r="AH147" s="834"/>
      <c r="AI147" s="834" t="s">
        <v>1364</v>
      </c>
      <c r="AJ147" s="834"/>
      <c r="AK147" s="834" t="s">
        <v>1365</v>
      </c>
      <c r="AL147" s="834"/>
      <c r="AM147" s="834"/>
      <c r="AN147" s="834"/>
      <c r="AO147" s="834"/>
      <c r="AP147" s="834"/>
      <c r="AQ147" s="834" t="s">
        <v>1366</v>
      </c>
      <c r="AR147" s="834"/>
      <c r="AS147" s="834"/>
      <c r="AT147" s="834"/>
      <c r="AU147" s="834"/>
      <c r="AV147" s="834"/>
      <c r="AW147" s="834" t="s">
        <v>1367</v>
      </c>
      <c r="AX147" s="834"/>
      <c r="AY147" s="834"/>
      <c r="AZ147" s="834"/>
      <c r="BA147" s="834"/>
      <c r="BB147" s="834"/>
      <c r="BC147" s="834" t="s">
        <v>1368</v>
      </c>
      <c r="BD147" s="834"/>
      <c r="BE147" s="834"/>
      <c r="BF147" s="834"/>
      <c r="BG147" s="834"/>
      <c r="BH147" s="834"/>
    </row>
    <row r="148" ht="15.95" customHeight="1" spans="1:60">
      <c r="A148" s="825"/>
      <c r="B148" s="825"/>
      <c r="C148" s="825"/>
      <c r="D148" s="826"/>
      <c r="E148" s="833" t="s">
        <v>1369</v>
      </c>
      <c r="F148" s="833"/>
      <c r="G148" s="833"/>
      <c r="H148" s="833"/>
      <c r="I148" s="845" t="s">
        <v>1370</v>
      </c>
      <c r="J148" s="845"/>
      <c r="K148" s="845"/>
      <c r="L148" s="845"/>
      <c r="M148" s="845"/>
      <c r="N148" s="845"/>
      <c r="O148" s="834" t="s">
        <v>1371</v>
      </c>
      <c r="P148" s="834"/>
      <c r="Q148" s="834"/>
      <c r="R148" s="834"/>
      <c r="S148" s="834"/>
      <c r="T148" s="834"/>
      <c r="U148" s="834" t="s">
        <v>1372</v>
      </c>
      <c r="V148" s="834"/>
      <c r="W148" s="834"/>
      <c r="X148" s="834"/>
      <c r="Y148" s="834"/>
      <c r="Z148" s="834"/>
      <c r="AA148" s="834" t="s">
        <v>1373</v>
      </c>
      <c r="AB148" s="834"/>
      <c r="AC148" s="834"/>
      <c r="AD148" s="834"/>
      <c r="AE148" s="834"/>
      <c r="AF148" s="834"/>
      <c r="AG148" s="834" t="s">
        <v>1374</v>
      </c>
      <c r="AH148" s="834"/>
      <c r="AI148" s="834" t="s">
        <v>1375</v>
      </c>
      <c r="AJ148" s="834"/>
      <c r="AK148" s="834" t="s">
        <v>1376</v>
      </c>
      <c r="AL148" s="834"/>
      <c r="AM148" s="834"/>
      <c r="AN148" s="834"/>
      <c r="AO148" s="834"/>
      <c r="AP148" s="834"/>
      <c r="AQ148" s="834" t="s">
        <v>1377</v>
      </c>
      <c r="AR148" s="834"/>
      <c r="AS148" s="834"/>
      <c r="AT148" s="834"/>
      <c r="AU148" s="834"/>
      <c r="AV148" s="834"/>
      <c r="AW148" s="834" t="s">
        <v>1378</v>
      </c>
      <c r="AX148" s="834"/>
      <c r="AY148" s="834"/>
      <c r="AZ148" s="834"/>
      <c r="BA148" s="834"/>
      <c r="BB148" s="834"/>
      <c r="BC148" s="834" t="s">
        <v>1379</v>
      </c>
      <c r="BD148" s="834"/>
      <c r="BE148" s="834"/>
      <c r="BF148" s="834"/>
      <c r="BG148" s="834"/>
      <c r="BH148" s="874"/>
    </row>
    <row r="149" ht="15.95" customHeight="1" spans="1:60">
      <c r="A149" s="825"/>
      <c r="B149" s="825"/>
      <c r="C149" s="825"/>
      <c r="D149" s="826"/>
      <c r="E149" s="833" t="s">
        <v>1380</v>
      </c>
      <c r="F149" s="833"/>
      <c r="G149" s="833"/>
      <c r="H149" s="833"/>
      <c r="I149" s="834" t="s">
        <v>1381</v>
      </c>
      <c r="J149" s="834"/>
      <c r="K149" s="834"/>
      <c r="L149" s="834"/>
      <c r="M149" s="834"/>
      <c r="N149" s="834"/>
      <c r="O149" s="845" t="s">
        <v>1382</v>
      </c>
      <c r="P149" s="845"/>
      <c r="Q149" s="845"/>
      <c r="R149" s="845"/>
      <c r="S149" s="845"/>
      <c r="T149" s="845"/>
      <c r="U149" s="845" t="s">
        <v>1383</v>
      </c>
      <c r="V149" s="845"/>
      <c r="W149" s="845"/>
      <c r="X149" s="845"/>
      <c r="Y149" s="845"/>
      <c r="Z149" s="845"/>
      <c r="AA149" s="834" t="s">
        <v>1384</v>
      </c>
      <c r="AB149" s="834"/>
      <c r="AC149" s="834"/>
      <c r="AD149" s="834"/>
      <c r="AE149" s="834"/>
      <c r="AF149" s="834"/>
      <c r="AG149" s="834" t="s">
        <v>1385</v>
      </c>
      <c r="AH149" s="834"/>
      <c r="AI149" s="834" t="s">
        <v>1386</v>
      </c>
      <c r="AJ149" s="834"/>
      <c r="AK149" s="845" t="s">
        <v>1387</v>
      </c>
      <c r="AL149" s="845"/>
      <c r="AM149" s="845"/>
      <c r="AN149" s="845"/>
      <c r="AO149" s="845"/>
      <c r="AP149" s="845"/>
      <c r="AQ149" s="834" t="s">
        <v>1388</v>
      </c>
      <c r="AR149" s="834"/>
      <c r="AS149" s="834"/>
      <c r="AT149" s="834"/>
      <c r="AU149" s="834"/>
      <c r="AV149" s="834"/>
      <c r="AW149" s="845" t="s">
        <v>1389</v>
      </c>
      <c r="AX149" s="845"/>
      <c r="AY149" s="845"/>
      <c r="AZ149" s="845"/>
      <c r="BA149" s="845"/>
      <c r="BB149" s="845"/>
      <c r="BC149" s="834" t="s">
        <v>1390</v>
      </c>
      <c r="BD149" s="834"/>
      <c r="BE149" s="834"/>
      <c r="BF149" s="834"/>
      <c r="BG149" s="834"/>
      <c r="BH149" s="834"/>
    </row>
    <row r="150" ht="15.95" customHeight="1" spans="1:60">
      <c r="A150" s="825"/>
      <c r="B150" s="825"/>
      <c r="C150" s="825"/>
      <c r="D150" s="826"/>
      <c r="E150" s="833" t="s">
        <v>1391</v>
      </c>
      <c r="F150" s="833"/>
      <c r="G150" s="833"/>
      <c r="H150" s="833"/>
      <c r="I150" s="845" t="s">
        <v>1392</v>
      </c>
      <c r="J150" s="845"/>
      <c r="K150" s="845"/>
      <c r="L150" s="845"/>
      <c r="M150" s="845"/>
      <c r="N150" s="845"/>
      <c r="O150" s="845" t="s">
        <v>1393</v>
      </c>
      <c r="P150" s="845"/>
      <c r="Q150" s="845"/>
      <c r="R150" s="845"/>
      <c r="S150" s="845"/>
      <c r="T150" s="845"/>
      <c r="U150" s="834" t="s">
        <v>1394</v>
      </c>
      <c r="V150" s="834"/>
      <c r="W150" s="834"/>
      <c r="X150" s="834"/>
      <c r="Y150" s="834"/>
      <c r="Z150" s="834"/>
      <c r="AA150" s="834" t="s">
        <v>1395</v>
      </c>
      <c r="AB150" s="834"/>
      <c r="AC150" s="834"/>
      <c r="AD150" s="834"/>
      <c r="AE150" s="834"/>
      <c r="AF150" s="834"/>
      <c r="AG150" s="834" t="s">
        <v>1396</v>
      </c>
      <c r="AH150" s="834"/>
      <c r="AI150" s="834" t="s">
        <v>1397</v>
      </c>
      <c r="AJ150" s="834"/>
      <c r="AK150" s="834" t="s">
        <v>1398</v>
      </c>
      <c r="AL150" s="834"/>
      <c r="AM150" s="834"/>
      <c r="AN150" s="834"/>
      <c r="AO150" s="834"/>
      <c r="AP150" s="834"/>
      <c r="AQ150" s="834" t="s">
        <v>1399</v>
      </c>
      <c r="AR150" s="834"/>
      <c r="AS150" s="834"/>
      <c r="AT150" s="834"/>
      <c r="AU150" s="834"/>
      <c r="AV150" s="834"/>
      <c r="AW150" s="834" t="s">
        <v>1400</v>
      </c>
      <c r="AX150" s="834"/>
      <c r="AY150" s="834"/>
      <c r="AZ150" s="834"/>
      <c r="BA150" s="834"/>
      <c r="BB150" s="834"/>
      <c r="BC150" s="834" t="s">
        <v>1401</v>
      </c>
      <c r="BD150" s="834"/>
      <c r="BE150" s="834"/>
      <c r="BF150" s="834"/>
      <c r="BG150" s="834"/>
      <c r="BH150" s="874"/>
    </row>
    <row r="151" ht="15.95" customHeight="1" spans="1:60">
      <c r="A151" s="825"/>
      <c r="B151" s="825"/>
      <c r="C151" s="825"/>
      <c r="D151" s="826"/>
      <c r="E151" s="833" t="s">
        <v>1402</v>
      </c>
      <c r="F151" s="833"/>
      <c r="G151" s="833"/>
      <c r="H151" s="833"/>
      <c r="I151" s="834" t="s">
        <v>1403</v>
      </c>
      <c r="J151" s="834"/>
      <c r="K151" s="834"/>
      <c r="L151" s="834"/>
      <c r="M151" s="834"/>
      <c r="N151" s="834"/>
      <c r="O151" s="845" t="s">
        <v>1404</v>
      </c>
      <c r="P151" s="845"/>
      <c r="Q151" s="845"/>
      <c r="R151" s="845"/>
      <c r="S151" s="845"/>
      <c r="T151" s="845"/>
      <c r="U151" s="834" t="s">
        <v>1405</v>
      </c>
      <c r="V151" s="834"/>
      <c r="W151" s="834"/>
      <c r="X151" s="834"/>
      <c r="Y151" s="834"/>
      <c r="Z151" s="834"/>
      <c r="AA151" s="834" t="s">
        <v>1406</v>
      </c>
      <c r="AB151" s="834"/>
      <c r="AC151" s="834"/>
      <c r="AD151" s="834"/>
      <c r="AE151" s="834"/>
      <c r="AF151" s="834"/>
      <c r="AG151" s="834" t="s">
        <v>1407</v>
      </c>
      <c r="AH151" s="834"/>
      <c r="AI151" s="834" t="s">
        <v>1408</v>
      </c>
      <c r="AJ151" s="834"/>
      <c r="AK151" s="834" t="s">
        <v>1409</v>
      </c>
      <c r="AL151" s="834"/>
      <c r="AM151" s="834"/>
      <c r="AN151" s="834"/>
      <c r="AO151" s="834"/>
      <c r="AP151" s="834"/>
      <c r="AQ151" s="834" t="s">
        <v>1410</v>
      </c>
      <c r="AR151" s="834"/>
      <c r="AS151" s="834"/>
      <c r="AT151" s="834"/>
      <c r="AU151" s="834"/>
      <c r="AV151" s="834"/>
      <c r="AW151" s="834" t="s">
        <v>1411</v>
      </c>
      <c r="AX151" s="834"/>
      <c r="AY151" s="834"/>
      <c r="AZ151" s="834"/>
      <c r="BA151" s="834"/>
      <c r="BB151" s="834"/>
      <c r="BC151" s="834" t="s">
        <v>1412</v>
      </c>
      <c r="BD151" s="834"/>
      <c r="BE151" s="834"/>
      <c r="BF151" s="834"/>
      <c r="BG151" s="834"/>
      <c r="BH151" s="834"/>
    </row>
    <row r="152" ht="15.95" customHeight="1" spans="1:60">
      <c r="A152" s="825"/>
      <c r="B152" s="825"/>
      <c r="C152" s="825"/>
      <c r="D152" s="826"/>
      <c r="E152" s="833" t="s">
        <v>1413</v>
      </c>
      <c r="F152" s="833"/>
      <c r="G152" s="833"/>
      <c r="H152" s="833"/>
      <c r="I152" s="845" t="s">
        <v>1414</v>
      </c>
      <c r="J152" s="845"/>
      <c r="K152" s="845"/>
      <c r="L152" s="845"/>
      <c r="M152" s="845"/>
      <c r="N152" s="845"/>
      <c r="O152" s="834" t="s">
        <v>1415</v>
      </c>
      <c r="P152" s="834"/>
      <c r="Q152" s="834"/>
      <c r="R152" s="834"/>
      <c r="S152" s="834"/>
      <c r="T152" s="834"/>
      <c r="U152" s="834" t="s">
        <v>1416</v>
      </c>
      <c r="V152" s="834"/>
      <c r="W152" s="834"/>
      <c r="X152" s="834"/>
      <c r="Y152" s="834"/>
      <c r="Z152" s="834"/>
      <c r="AA152" s="834" t="s">
        <v>1417</v>
      </c>
      <c r="AB152" s="834"/>
      <c r="AC152" s="834"/>
      <c r="AD152" s="834"/>
      <c r="AE152" s="834"/>
      <c r="AF152" s="834"/>
      <c r="AG152" s="834" t="s">
        <v>1418</v>
      </c>
      <c r="AH152" s="834"/>
      <c r="AI152" s="834" t="s">
        <v>1419</v>
      </c>
      <c r="AJ152" s="834"/>
      <c r="AK152" s="834" t="s">
        <v>1420</v>
      </c>
      <c r="AL152" s="834"/>
      <c r="AM152" s="834"/>
      <c r="AN152" s="834"/>
      <c r="AO152" s="834"/>
      <c r="AP152" s="834"/>
      <c r="AQ152" s="834" t="s">
        <v>1421</v>
      </c>
      <c r="AR152" s="834"/>
      <c r="AS152" s="834"/>
      <c r="AT152" s="834"/>
      <c r="AU152" s="834"/>
      <c r="AV152" s="834"/>
      <c r="AW152" s="834" t="s">
        <v>1422</v>
      </c>
      <c r="AX152" s="834"/>
      <c r="AY152" s="834"/>
      <c r="AZ152" s="834"/>
      <c r="BA152" s="834"/>
      <c r="BB152" s="834"/>
      <c r="BC152" s="834" t="s">
        <v>1423</v>
      </c>
      <c r="BD152" s="834"/>
      <c r="BE152" s="834"/>
      <c r="BF152" s="834"/>
      <c r="BG152" s="834"/>
      <c r="BH152" s="874"/>
    </row>
    <row r="153" ht="15.95" customHeight="1" spans="1:60">
      <c r="A153" s="825"/>
      <c r="B153" s="825"/>
      <c r="C153" s="825"/>
      <c r="D153" s="826"/>
      <c r="E153" s="833" t="s">
        <v>1424</v>
      </c>
      <c r="F153" s="833"/>
      <c r="G153" s="833"/>
      <c r="H153" s="833"/>
      <c r="I153" s="834" t="s">
        <v>1425</v>
      </c>
      <c r="J153" s="834"/>
      <c r="K153" s="834"/>
      <c r="L153" s="834"/>
      <c r="M153" s="834"/>
      <c r="N153" s="834"/>
      <c r="O153" s="845" t="s">
        <v>1426</v>
      </c>
      <c r="P153" s="845"/>
      <c r="Q153" s="845"/>
      <c r="R153" s="845"/>
      <c r="S153" s="845"/>
      <c r="T153" s="845"/>
      <c r="U153" s="845" t="s">
        <v>1427</v>
      </c>
      <c r="V153" s="845"/>
      <c r="W153" s="845"/>
      <c r="X153" s="845"/>
      <c r="Y153" s="845"/>
      <c r="Z153" s="845"/>
      <c r="AA153" s="834" t="s">
        <v>1428</v>
      </c>
      <c r="AB153" s="834"/>
      <c r="AC153" s="834"/>
      <c r="AD153" s="834"/>
      <c r="AE153" s="834"/>
      <c r="AF153" s="834"/>
      <c r="AG153" s="834" t="s">
        <v>1429</v>
      </c>
      <c r="AH153" s="834"/>
      <c r="AI153" s="834" t="s">
        <v>1430</v>
      </c>
      <c r="AJ153" s="834"/>
      <c r="AK153" s="845" t="s">
        <v>1431</v>
      </c>
      <c r="AL153" s="845"/>
      <c r="AM153" s="845"/>
      <c r="AN153" s="845"/>
      <c r="AO153" s="845"/>
      <c r="AP153" s="845"/>
      <c r="AQ153" s="834" t="s">
        <v>1432</v>
      </c>
      <c r="AR153" s="834"/>
      <c r="AS153" s="834"/>
      <c r="AT153" s="834"/>
      <c r="AU153" s="834"/>
      <c r="AV153" s="834"/>
      <c r="AW153" s="845" t="s">
        <v>1433</v>
      </c>
      <c r="AX153" s="845"/>
      <c r="AY153" s="845"/>
      <c r="AZ153" s="845"/>
      <c r="BA153" s="845"/>
      <c r="BB153" s="845"/>
      <c r="BC153" s="834" t="s">
        <v>1434</v>
      </c>
      <c r="BD153" s="834"/>
      <c r="BE153" s="834"/>
      <c r="BF153" s="834"/>
      <c r="BG153" s="834"/>
      <c r="BH153" s="834"/>
    </row>
    <row r="154" ht="15.95" customHeight="1" spans="1:60">
      <c r="A154" s="825"/>
      <c r="B154" s="825"/>
      <c r="C154" s="825"/>
      <c r="D154" s="826"/>
      <c r="E154" s="833" t="s">
        <v>1435</v>
      </c>
      <c r="F154" s="833"/>
      <c r="G154" s="833"/>
      <c r="H154" s="833"/>
      <c r="I154" s="845" t="s">
        <v>1436</v>
      </c>
      <c r="J154" s="845"/>
      <c r="K154" s="845"/>
      <c r="L154" s="845"/>
      <c r="M154" s="845"/>
      <c r="N154" s="845"/>
      <c r="O154" s="845" t="s">
        <v>1437</v>
      </c>
      <c r="P154" s="845"/>
      <c r="Q154" s="845"/>
      <c r="R154" s="845"/>
      <c r="S154" s="845"/>
      <c r="T154" s="845"/>
      <c r="U154" s="834" t="s">
        <v>1438</v>
      </c>
      <c r="V154" s="834"/>
      <c r="W154" s="834"/>
      <c r="X154" s="834"/>
      <c r="Y154" s="834"/>
      <c r="Z154" s="834"/>
      <c r="AA154" s="834" t="s">
        <v>1439</v>
      </c>
      <c r="AB154" s="834"/>
      <c r="AC154" s="834"/>
      <c r="AD154" s="834"/>
      <c r="AE154" s="834"/>
      <c r="AF154" s="834"/>
      <c r="AG154" s="834" t="s">
        <v>1440</v>
      </c>
      <c r="AH154" s="834"/>
      <c r="AI154" s="834" t="s">
        <v>1441</v>
      </c>
      <c r="AJ154" s="834"/>
      <c r="AK154" s="834" t="s">
        <v>1442</v>
      </c>
      <c r="AL154" s="834"/>
      <c r="AM154" s="834"/>
      <c r="AN154" s="834"/>
      <c r="AO154" s="834"/>
      <c r="AP154" s="834"/>
      <c r="AQ154" s="834" t="s">
        <v>1443</v>
      </c>
      <c r="AR154" s="834"/>
      <c r="AS154" s="834"/>
      <c r="AT154" s="834"/>
      <c r="AU154" s="834"/>
      <c r="AV154" s="834"/>
      <c r="AW154" s="834" t="s">
        <v>1444</v>
      </c>
      <c r="AX154" s="834"/>
      <c r="AY154" s="834"/>
      <c r="AZ154" s="834"/>
      <c r="BA154" s="834"/>
      <c r="BB154" s="834"/>
      <c r="BC154" s="834" t="s">
        <v>1445</v>
      </c>
      <c r="BD154" s="834"/>
      <c r="BE154" s="834"/>
      <c r="BF154" s="834"/>
      <c r="BG154" s="834"/>
      <c r="BH154" s="874"/>
    </row>
    <row r="155" ht="15.95" customHeight="1" spans="1:60">
      <c r="A155" s="825"/>
      <c r="B155" s="825"/>
      <c r="C155" s="825"/>
      <c r="D155" s="826"/>
      <c r="E155" s="833" t="s">
        <v>1446</v>
      </c>
      <c r="F155" s="833"/>
      <c r="G155" s="833"/>
      <c r="H155" s="833"/>
      <c r="I155" s="834" t="s">
        <v>1447</v>
      </c>
      <c r="J155" s="834"/>
      <c r="K155" s="834"/>
      <c r="L155" s="834"/>
      <c r="M155" s="834"/>
      <c r="N155" s="834"/>
      <c r="O155" s="845" t="s">
        <v>1448</v>
      </c>
      <c r="P155" s="845"/>
      <c r="Q155" s="845"/>
      <c r="R155" s="845"/>
      <c r="S155" s="845"/>
      <c r="T155" s="845"/>
      <c r="U155" s="834" t="s">
        <v>1449</v>
      </c>
      <c r="V155" s="834"/>
      <c r="W155" s="834"/>
      <c r="X155" s="834"/>
      <c r="Y155" s="834"/>
      <c r="Z155" s="834"/>
      <c r="AA155" s="834" t="s">
        <v>1450</v>
      </c>
      <c r="AB155" s="834"/>
      <c r="AC155" s="834"/>
      <c r="AD155" s="834"/>
      <c r="AE155" s="834"/>
      <c r="AF155" s="834"/>
      <c r="AG155" s="834" t="s">
        <v>1451</v>
      </c>
      <c r="AH155" s="834"/>
      <c r="AI155" s="834" t="s">
        <v>1452</v>
      </c>
      <c r="AJ155" s="834"/>
      <c r="AK155" s="834" t="s">
        <v>1453</v>
      </c>
      <c r="AL155" s="834"/>
      <c r="AM155" s="834"/>
      <c r="AN155" s="834"/>
      <c r="AO155" s="834"/>
      <c r="AP155" s="834"/>
      <c r="AQ155" s="834" t="s">
        <v>1454</v>
      </c>
      <c r="AR155" s="834"/>
      <c r="AS155" s="834"/>
      <c r="AT155" s="834"/>
      <c r="AU155" s="834"/>
      <c r="AV155" s="834"/>
      <c r="AW155" s="834" t="s">
        <v>1455</v>
      </c>
      <c r="AX155" s="834"/>
      <c r="AY155" s="834"/>
      <c r="AZ155" s="834"/>
      <c r="BA155" s="834"/>
      <c r="BB155" s="834"/>
      <c r="BC155" s="834" t="s">
        <v>1456</v>
      </c>
      <c r="BD155" s="834"/>
      <c r="BE155" s="834"/>
      <c r="BF155" s="834"/>
      <c r="BG155" s="834"/>
      <c r="BH155" s="834"/>
    </row>
    <row r="156" ht="15.95" customHeight="1" spans="1:60">
      <c r="A156" s="825"/>
      <c r="B156" s="825"/>
      <c r="C156" s="825"/>
      <c r="D156" s="826"/>
      <c r="E156" s="833" t="s">
        <v>1457</v>
      </c>
      <c r="F156" s="833"/>
      <c r="G156" s="833"/>
      <c r="H156" s="833"/>
      <c r="I156" s="845" t="s">
        <v>1458</v>
      </c>
      <c r="J156" s="845"/>
      <c r="K156" s="845"/>
      <c r="L156" s="845"/>
      <c r="M156" s="845"/>
      <c r="N156" s="845"/>
      <c r="O156" s="834" t="s">
        <v>1459</v>
      </c>
      <c r="P156" s="834"/>
      <c r="Q156" s="834"/>
      <c r="R156" s="834"/>
      <c r="S156" s="834"/>
      <c r="T156" s="834"/>
      <c r="U156" s="834" t="s">
        <v>1460</v>
      </c>
      <c r="V156" s="834"/>
      <c r="W156" s="834"/>
      <c r="X156" s="834"/>
      <c r="Y156" s="834"/>
      <c r="Z156" s="834"/>
      <c r="AA156" s="834" t="s">
        <v>1461</v>
      </c>
      <c r="AB156" s="834"/>
      <c r="AC156" s="834"/>
      <c r="AD156" s="834"/>
      <c r="AE156" s="834"/>
      <c r="AF156" s="834"/>
      <c r="AG156" s="834" t="s">
        <v>1462</v>
      </c>
      <c r="AH156" s="834"/>
      <c r="AI156" s="834" t="s">
        <v>1463</v>
      </c>
      <c r="AJ156" s="834"/>
      <c r="AK156" s="834" t="s">
        <v>1464</v>
      </c>
      <c r="AL156" s="834"/>
      <c r="AM156" s="834"/>
      <c r="AN156" s="834"/>
      <c r="AO156" s="834"/>
      <c r="AP156" s="834"/>
      <c r="AQ156" s="834" t="s">
        <v>1465</v>
      </c>
      <c r="AR156" s="834"/>
      <c r="AS156" s="834"/>
      <c r="AT156" s="834"/>
      <c r="AU156" s="834"/>
      <c r="AV156" s="834"/>
      <c r="AW156" s="834" t="s">
        <v>1466</v>
      </c>
      <c r="AX156" s="834"/>
      <c r="AY156" s="834"/>
      <c r="AZ156" s="834"/>
      <c r="BA156" s="834"/>
      <c r="BB156" s="834"/>
      <c r="BC156" s="834" t="s">
        <v>1467</v>
      </c>
      <c r="BD156" s="834"/>
      <c r="BE156" s="834"/>
      <c r="BF156" s="834"/>
      <c r="BG156" s="834"/>
      <c r="BH156" s="874"/>
    </row>
    <row r="157" ht="15.95" customHeight="1" spans="1:60">
      <c r="A157" s="825"/>
      <c r="B157" s="825"/>
      <c r="C157" s="825"/>
      <c r="D157" s="826"/>
      <c r="E157" s="833" t="s">
        <v>1468</v>
      </c>
      <c r="F157" s="833"/>
      <c r="G157" s="833"/>
      <c r="H157" s="833"/>
      <c r="I157" s="834" t="s">
        <v>1469</v>
      </c>
      <c r="J157" s="834"/>
      <c r="K157" s="834"/>
      <c r="L157" s="834"/>
      <c r="M157" s="834"/>
      <c r="N157" s="834"/>
      <c r="O157" s="845" t="s">
        <v>1470</v>
      </c>
      <c r="P157" s="845"/>
      <c r="Q157" s="845"/>
      <c r="R157" s="845"/>
      <c r="S157" s="845"/>
      <c r="T157" s="845"/>
      <c r="U157" s="845" t="s">
        <v>1471</v>
      </c>
      <c r="V157" s="845"/>
      <c r="W157" s="845"/>
      <c r="X157" s="845"/>
      <c r="Y157" s="845"/>
      <c r="Z157" s="845"/>
      <c r="AA157" s="834" t="s">
        <v>1472</v>
      </c>
      <c r="AB157" s="834"/>
      <c r="AC157" s="834"/>
      <c r="AD157" s="834"/>
      <c r="AE157" s="834"/>
      <c r="AF157" s="834"/>
      <c r="AG157" s="834" t="s">
        <v>1473</v>
      </c>
      <c r="AH157" s="834"/>
      <c r="AI157" s="834" t="s">
        <v>1474</v>
      </c>
      <c r="AJ157" s="834"/>
      <c r="AK157" s="845" t="s">
        <v>1475</v>
      </c>
      <c r="AL157" s="845"/>
      <c r="AM157" s="845"/>
      <c r="AN157" s="845"/>
      <c r="AO157" s="845"/>
      <c r="AP157" s="845"/>
      <c r="AQ157" s="834" t="s">
        <v>1476</v>
      </c>
      <c r="AR157" s="834"/>
      <c r="AS157" s="834"/>
      <c r="AT157" s="834"/>
      <c r="AU157" s="834"/>
      <c r="AV157" s="834"/>
      <c r="AW157" s="845" t="s">
        <v>1477</v>
      </c>
      <c r="AX157" s="845"/>
      <c r="AY157" s="845"/>
      <c r="AZ157" s="845"/>
      <c r="BA157" s="845"/>
      <c r="BB157" s="845"/>
      <c r="BC157" s="834" t="s">
        <v>1478</v>
      </c>
      <c r="BD157" s="834"/>
      <c r="BE157" s="834"/>
      <c r="BF157" s="834"/>
      <c r="BG157" s="834"/>
      <c r="BH157" s="834"/>
    </row>
    <row r="158" ht="15.95" customHeight="1" spans="1:60">
      <c r="A158" s="825"/>
      <c r="B158" s="825"/>
      <c r="C158" s="825"/>
      <c r="D158" s="826"/>
      <c r="E158" s="833" t="s">
        <v>1479</v>
      </c>
      <c r="F158" s="833"/>
      <c r="G158" s="833"/>
      <c r="H158" s="833"/>
      <c r="I158" s="845" t="s">
        <v>1480</v>
      </c>
      <c r="J158" s="845"/>
      <c r="K158" s="845"/>
      <c r="L158" s="845"/>
      <c r="M158" s="845"/>
      <c r="N158" s="845"/>
      <c r="O158" s="845" t="s">
        <v>1481</v>
      </c>
      <c r="P158" s="845"/>
      <c r="Q158" s="845"/>
      <c r="R158" s="845"/>
      <c r="S158" s="845"/>
      <c r="T158" s="845"/>
      <c r="U158" s="834" t="s">
        <v>1482</v>
      </c>
      <c r="V158" s="834"/>
      <c r="W158" s="834"/>
      <c r="X158" s="834"/>
      <c r="Y158" s="834"/>
      <c r="Z158" s="834"/>
      <c r="AA158" s="834" t="s">
        <v>1483</v>
      </c>
      <c r="AB158" s="834"/>
      <c r="AC158" s="834"/>
      <c r="AD158" s="834"/>
      <c r="AE158" s="834"/>
      <c r="AF158" s="834"/>
      <c r="AG158" s="834" t="s">
        <v>1484</v>
      </c>
      <c r="AH158" s="834"/>
      <c r="AI158" s="834" t="s">
        <v>1485</v>
      </c>
      <c r="AJ158" s="834"/>
      <c r="AK158" s="834" t="s">
        <v>1486</v>
      </c>
      <c r="AL158" s="834"/>
      <c r="AM158" s="834"/>
      <c r="AN158" s="834"/>
      <c r="AO158" s="834"/>
      <c r="AP158" s="834"/>
      <c r="AQ158" s="834" t="s">
        <v>1487</v>
      </c>
      <c r="AR158" s="834"/>
      <c r="AS158" s="834"/>
      <c r="AT158" s="834"/>
      <c r="AU158" s="834"/>
      <c r="AV158" s="834"/>
      <c r="AW158" s="834" t="s">
        <v>1488</v>
      </c>
      <c r="AX158" s="834"/>
      <c r="AY158" s="834"/>
      <c r="AZ158" s="834"/>
      <c r="BA158" s="834"/>
      <c r="BB158" s="834"/>
      <c r="BC158" s="834" t="s">
        <v>1489</v>
      </c>
      <c r="BD158" s="834"/>
      <c r="BE158" s="834"/>
      <c r="BF158" s="834"/>
      <c r="BG158" s="834"/>
      <c r="BH158" s="874"/>
    </row>
    <row r="159" ht="15.95" customHeight="1" spans="1:60">
      <c r="A159" s="825"/>
      <c r="B159" s="825"/>
      <c r="C159" s="825"/>
      <c r="D159" s="826"/>
      <c r="E159" s="821" t="s">
        <v>1347</v>
      </c>
      <c r="F159" s="822"/>
      <c r="G159" s="822"/>
      <c r="H159" s="823"/>
      <c r="I159" s="852" t="s">
        <v>1490</v>
      </c>
      <c r="J159" s="839"/>
      <c r="K159" s="839"/>
      <c r="L159" s="839"/>
      <c r="M159" s="839"/>
      <c r="N159" s="839"/>
      <c r="O159" s="839"/>
      <c r="P159" s="839"/>
      <c r="Q159" s="839"/>
      <c r="R159" s="839"/>
      <c r="S159" s="839"/>
      <c r="T159" s="839"/>
      <c r="U159" s="839"/>
      <c r="V159" s="839"/>
      <c r="W159" s="839"/>
      <c r="X159" s="839"/>
      <c r="Y159" s="839"/>
      <c r="Z159" s="839"/>
      <c r="AA159" s="839" t="s">
        <v>1349</v>
      </c>
      <c r="AB159" s="839"/>
      <c r="AC159" s="839"/>
      <c r="AD159" s="839"/>
      <c r="AE159" s="839"/>
      <c r="AF159" s="839"/>
      <c r="AG159" s="839"/>
      <c r="AH159" s="839"/>
      <c r="AI159" s="839"/>
      <c r="AJ159" s="839"/>
      <c r="AK159" s="839" t="s">
        <v>1346</v>
      </c>
      <c r="AL159" s="839"/>
      <c r="AM159" s="839"/>
      <c r="AN159" s="839"/>
      <c r="AO159" s="839"/>
      <c r="AP159" s="839"/>
      <c r="AQ159" s="839"/>
      <c r="AR159" s="839"/>
      <c r="AS159" s="839"/>
      <c r="AT159" s="839"/>
      <c r="AU159" s="839"/>
      <c r="AV159" s="839"/>
      <c r="AW159" s="839"/>
      <c r="AX159" s="839"/>
      <c r="AY159" s="839"/>
      <c r="AZ159" s="839"/>
      <c r="BA159" s="839"/>
      <c r="BB159" s="839"/>
      <c r="BC159" s="839"/>
      <c r="BD159" s="839"/>
      <c r="BE159" s="839"/>
      <c r="BF159" s="839"/>
      <c r="BG159" s="839"/>
      <c r="BH159" s="839"/>
    </row>
    <row r="160" ht="15.95" customHeight="1" spans="1:60">
      <c r="A160" s="825"/>
      <c r="B160" s="825"/>
      <c r="C160" s="825"/>
      <c r="D160" s="826"/>
      <c r="E160" s="827"/>
      <c r="F160" s="828"/>
      <c r="G160" s="828"/>
      <c r="H160" s="829"/>
      <c r="I160" s="840" t="s">
        <v>1491</v>
      </c>
      <c r="J160" s="841"/>
      <c r="K160" s="841"/>
      <c r="L160" s="841"/>
      <c r="M160" s="841"/>
      <c r="N160" s="841"/>
      <c r="O160" s="840" t="s">
        <v>1125</v>
      </c>
      <c r="P160" s="841"/>
      <c r="Q160" s="841"/>
      <c r="R160" s="841"/>
      <c r="S160" s="841"/>
      <c r="T160" s="841"/>
      <c r="U160" s="852" t="s">
        <v>1351</v>
      </c>
      <c r="V160" s="839"/>
      <c r="W160" s="839"/>
      <c r="X160" s="839"/>
      <c r="Y160" s="839"/>
      <c r="Z160" s="839"/>
      <c r="AA160" s="852" t="s">
        <v>1352</v>
      </c>
      <c r="AB160" s="839"/>
      <c r="AC160" s="839"/>
      <c r="AD160" s="839"/>
      <c r="AE160" s="839"/>
      <c r="AF160" s="839"/>
      <c r="AG160" s="893" t="s">
        <v>1353</v>
      </c>
      <c r="AH160" s="894"/>
      <c r="AI160" s="893" t="s">
        <v>1354</v>
      </c>
      <c r="AJ160" s="894"/>
      <c r="AK160" s="840" t="s">
        <v>1492</v>
      </c>
      <c r="AL160" s="841"/>
      <c r="AM160" s="841"/>
      <c r="AN160" s="841"/>
      <c r="AO160" s="841"/>
      <c r="AP160" s="841"/>
      <c r="AQ160" s="840" t="s">
        <v>755</v>
      </c>
      <c r="AR160" s="841"/>
      <c r="AS160" s="841"/>
      <c r="AT160" s="841"/>
      <c r="AU160" s="841"/>
      <c r="AV160" s="841"/>
      <c r="AW160" s="852" t="s">
        <v>1024</v>
      </c>
      <c r="AX160" s="839"/>
      <c r="AY160" s="839"/>
      <c r="AZ160" s="839"/>
      <c r="BA160" s="839"/>
      <c r="BB160" s="839"/>
      <c r="BC160" s="852" t="s">
        <v>870</v>
      </c>
      <c r="BD160" s="839"/>
      <c r="BE160" s="839"/>
      <c r="BF160" s="839"/>
      <c r="BG160" s="839"/>
      <c r="BH160" s="872"/>
    </row>
    <row r="161" ht="15.95" customHeight="1" spans="1:60">
      <c r="A161" s="825"/>
      <c r="B161" s="825"/>
      <c r="C161" s="825"/>
      <c r="D161" s="826"/>
      <c r="E161" s="830"/>
      <c r="F161" s="831"/>
      <c r="G161" s="831"/>
      <c r="H161" s="832"/>
      <c r="I161" s="887"/>
      <c r="J161" s="887"/>
      <c r="K161" s="887"/>
      <c r="L161" s="887"/>
      <c r="M161" s="887"/>
      <c r="N161" s="887"/>
      <c r="O161" s="887" t="s">
        <v>1184</v>
      </c>
      <c r="P161" s="887"/>
      <c r="Q161" s="887"/>
      <c r="R161" s="887"/>
      <c r="S161" s="887"/>
      <c r="T161" s="887"/>
      <c r="U161" s="887" t="s">
        <v>1184</v>
      </c>
      <c r="V161" s="887"/>
      <c r="W161" s="887"/>
      <c r="X161" s="887"/>
      <c r="Y161" s="887"/>
      <c r="Z161" s="887"/>
      <c r="AA161" s="887"/>
      <c r="AB161" s="887"/>
      <c r="AC161" s="887"/>
      <c r="AD161" s="887"/>
      <c r="AE161" s="887"/>
      <c r="AF161" s="887"/>
      <c r="AG161" s="842"/>
      <c r="AH161" s="844"/>
      <c r="AI161" s="842"/>
      <c r="AJ161" s="844"/>
      <c r="AK161" s="842" t="s">
        <v>1184</v>
      </c>
      <c r="AL161" s="843"/>
      <c r="AM161" s="843"/>
      <c r="AN161" s="843"/>
      <c r="AO161" s="843"/>
      <c r="AP161" s="844"/>
      <c r="AQ161" s="842" t="s">
        <v>1356</v>
      </c>
      <c r="AR161" s="843"/>
      <c r="AS161" s="843"/>
      <c r="AT161" s="843"/>
      <c r="AU161" s="843"/>
      <c r="AV161" s="844"/>
      <c r="AW161" s="842" t="s">
        <v>1357</v>
      </c>
      <c r="AX161" s="843"/>
      <c r="AY161" s="843"/>
      <c r="AZ161" s="843"/>
      <c r="BA161" s="843"/>
      <c r="BB161" s="844"/>
      <c r="BC161" s="842" t="s">
        <v>1185</v>
      </c>
      <c r="BD161" s="843"/>
      <c r="BE161" s="843"/>
      <c r="BF161" s="843"/>
      <c r="BG161" s="843"/>
      <c r="BH161" s="873"/>
    </row>
    <row r="162" ht="15.95" customHeight="1" spans="1:60">
      <c r="A162" s="825"/>
      <c r="B162" s="825"/>
      <c r="C162" s="825"/>
      <c r="D162" s="826"/>
      <c r="E162" s="833" t="s">
        <v>1358</v>
      </c>
      <c r="F162" s="833"/>
      <c r="G162" s="833"/>
      <c r="H162" s="833"/>
      <c r="I162" s="834" t="s">
        <v>1493</v>
      </c>
      <c r="J162" s="834"/>
      <c r="K162" s="834"/>
      <c r="L162" s="834"/>
      <c r="M162" s="834"/>
      <c r="N162" s="834"/>
      <c r="O162" s="845" t="s">
        <v>1494</v>
      </c>
      <c r="P162" s="845"/>
      <c r="Q162" s="845"/>
      <c r="R162" s="845"/>
      <c r="S162" s="845"/>
      <c r="T162" s="845"/>
      <c r="U162" s="834" t="s">
        <v>1495</v>
      </c>
      <c r="V162" s="834"/>
      <c r="W162" s="834"/>
      <c r="X162" s="834"/>
      <c r="Y162" s="834"/>
      <c r="Z162" s="834"/>
      <c r="AA162" s="834" t="s">
        <v>1496</v>
      </c>
      <c r="AB162" s="834"/>
      <c r="AC162" s="834"/>
      <c r="AD162" s="834"/>
      <c r="AE162" s="834"/>
      <c r="AF162" s="834"/>
      <c r="AG162" s="834" t="s">
        <v>1497</v>
      </c>
      <c r="AH162" s="834"/>
      <c r="AI162" s="834" t="s">
        <v>1498</v>
      </c>
      <c r="AJ162" s="834"/>
      <c r="AK162" s="834" t="s">
        <v>1499</v>
      </c>
      <c r="AL162" s="834"/>
      <c r="AM162" s="834"/>
      <c r="AN162" s="834"/>
      <c r="AO162" s="834"/>
      <c r="AP162" s="834"/>
      <c r="AQ162" s="834" t="s">
        <v>1500</v>
      </c>
      <c r="AR162" s="834"/>
      <c r="AS162" s="834"/>
      <c r="AT162" s="834"/>
      <c r="AU162" s="834"/>
      <c r="AV162" s="834"/>
      <c r="AW162" s="834" t="s">
        <v>1501</v>
      </c>
      <c r="AX162" s="834"/>
      <c r="AY162" s="834"/>
      <c r="AZ162" s="834"/>
      <c r="BA162" s="834"/>
      <c r="BB162" s="834"/>
      <c r="BC162" s="834" t="s">
        <v>1502</v>
      </c>
      <c r="BD162" s="834"/>
      <c r="BE162" s="834"/>
      <c r="BF162" s="834"/>
      <c r="BG162" s="834"/>
      <c r="BH162" s="834"/>
    </row>
    <row r="163" ht="15.95" customHeight="1" spans="1:60">
      <c r="A163" s="825"/>
      <c r="B163" s="825"/>
      <c r="C163" s="825"/>
      <c r="D163" s="826"/>
      <c r="E163" s="833" t="s">
        <v>1369</v>
      </c>
      <c r="F163" s="833"/>
      <c r="G163" s="833"/>
      <c r="H163" s="833"/>
      <c r="I163" s="845" t="s">
        <v>1503</v>
      </c>
      <c r="J163" s="845"/>
      <c r="K163" s="845"/>
      <c r="L163" s="845"/>
      <c r="M163" s="845"/>
      <c r="N163" s="845"/>
      <c r="O163" s="834" t="s">
        <v>1504</v>
      </c>
      <c r="P163" s="834"/>
      <c r="Q163" s="834"/>
      <c r="R163" s="834"/>
      <c r="S163" s="834"/>
      <c r="T163" s="834"/>
      <c r="U163" s="834" t="s">
        <v>1505</v>
      </c>
      <c r="V163" s="834"/>
      <c r="W163" s="834"/>
      <c r="X163" s="834"/>
      <c r="Y163" s="834"/>
      <c r="Z163" s="834"/>
      <c r="AA163" s="834" t="s">
        <v>1506</v>
      </c>
      <c r="AB163" s="834"/>
      <c r="AC163" s="834"/>
      <c r="AD163" s="834"/>
      <c r="AE163" s="834"/>
      <c r="AF163" s="834"/>
      <c r="AG163" s="834" t="s">
        <v>1507</v>
      </c>
      <c r="AH163" s="834"/>
      <c r="AI163" s="834" t="s">
        <v>1508</v>
      </c>
      <c r="AJ163" s="834"/>
      <c r="AK163" s="834" t="s">
        <v>1509</v>
      </c>
      <c r="AL163" s="834"/>
      <c r="AM163" s="834"/>
      <c r="AN163" s="834"/>
      <c r="AO163" s="834"/>
      <c r="AP163" s="834"/>
      <c r="AQ163" s="834" t="s">
        <v>1510</v>
      </c>
      <c r="AR163" s="834"/>
      <c r="AS163" s="834"/>
      <c r="AT163" s="834"/>
      <c r="AU163" s="834"/>
      <c r="AV163" s="834"/>
      <c r="AW163" s="834" t="s">
        <v>1511</v>
      </c>
      <c r="AX163" s="834"/>
      <c r="AY163" s="834"/>
      <c r="AZ163" s="834"/>
      <c r="BA163" s="834"/>
      <c r="BB163" s="834"/>
      <c r="BC163" s="834" t="s">
        <v>1512</v>
      </c>
      <c r="BD163" s="834"/>
      <c r="BE163" s="834"/>
      <c r="BF163" s="834"/>
      <c r="BG163" s="834"/>
      <c r="BH163" s="874"/>
    </row>
    <row r="164" ht="15.95" customHeight="1" spans="1:60">
      <c r="A164" s="825"/>
      <c r="B164" s="825"/>
      <c r="C164" s="825"/>
      <c r="D164" s="826"/>
      <c r="E164" s="833" t="s">
        <v>1380</v>
      </c>
      <c r="F164" s="833"/>
      <c r="G164" s="833"/>
      <c r="H164" s="833"/>
      <c r="I164" s="834" t="s">
        <v>1513</v>
      </c>
      <c r="J164" s="834"/>
      <c r="K164" s="834"/>
      <c r="L164" s="834"/>
      <c r="M164" s="834"/>
      <c r="N164" s="834"/>
      <c r="O164" s="845" t="s">
        <v>1514</v>
      </c>
      <c r="P164" s="845"/>
      <c r="Q164" s="845"/>
      <c r="R164" s="845"/>
      <c r="S164" s="845"/>
      <c r="T164" s="845"/>
      <c r="U164" s="845" t="s">
        <v>1515</v>
      </c>
      <c r="V164" s="845"/>
      <c r="W164" s="845"/>
      <c r="X164" s="845"/>
      <c r="Y164" s="845"/>
      <c r="Z164" s="845"/>
      <c r="AA164" s="834" t="s">
        <v>1516</v>
      </c>
      <c r="AB164" s="834"/>
      <c r="AC164" s="834"/>
      <c r="AD164" s="834"/>
      <c r="AE164" s="834"/>
      <c r="AF164" s="834"/>
      <c r="AG164" s="834" t="s">
        <v>1517</v>
      </c>
      <c r="AH164" s="834"/>
      <c r="AI164" s="834" t="s">
        <v>1518</v>
      </c>
      <c r="AJ164" s="834"/>
      <c r="AK164" s="845" t="s">
        <v>1519</v>
      </c>
      <c r="AL164" s="845"/>
      <c r="AM164" s="845"/>
      <c r="AN164" s="845"/>
      <c r="AO164" s="845"/>
      <c r="AP164" s="845"/>
      <c r="AQ164" s="834" t="s">
        <v>1520</v>
      </c>
      <c r="AR164" s="834"/>
      <c r="AS164" s="834"/>
      <c r="AT164" s="834"/>
      <c r="AU164" s="834"/>
      <c r="AV164" s="834"/>
      <c r="AW164" s="845" t="s">
        <v>1521</v>
      </c>
      <c r="AX164" s="845"/>
      <c r="AY164" s="845"/>
      <c r="AZ164" s="845"/>
      <c r="BA164" s="845"/>
      <c r="BB164" s="845"/>
      <c r="BC164" s="834" t="s">
        <v>1522</v>
      </c>
      <c r="BD164" s="834"/>
      <c r="BE164" s="834"/>
      <c r="BF164" s="834"/>
      <c r="BG164" s="834"/>
      <c r="BH164" s="834"/>
    </row>
    <row r="165" ht="15.95" customHeight="1" spans="1:60">
      <c r="A165" s="825"/>
      <c r="B165" s="825"/>
      <c r="C165" s="825"/>
      <c r="D165" s="826"/>
      <c r="E165" s="833" t="s">
        <v>1391</v>
      </c>
      <c r="F165" s="833"/>
      <c r="G165" s="833"/>
      <c r="H165" s="833"/>
      <c r="I165" s="845" t="s">
        <v>1523</v>
      </c>
      <c r="J165" s="845"/>
      <c r="K165" s="845"/>
      <c r="L165" s="845"/>
      <c r="M165" s="845"/>
      <c r="N165" s="845"/>
      <c r="O165" s="845" t="s">
        <v>1524</v>
      </c>
      <c r="P165" s="845"/>
      <c r="Q165" s="845"/>
      <c r="R165" s="845"/>
      <c r="S165" s="845"/>
      <c r="T165" s="845"/>
      <c r="U165" s="834" t="s">
        <v>1525</v>
      </c>
      <c r="V165" s="834"/>
      <c r="W165" s="834"/>
      <c r="X165" s="834"/>
      <c r="Y165" s="834"/>
      <c r="Z165" s="834"/>
      <c r="AA165" s="834" t="s">
        <v>1526</v>
      </c>
      <c r="AB165" s="834"/>
      <c r="AC165" s="834"/>
      <c r="AD165" s="834"/>
      <c r="AE165" s="834"/>
      <c r="AF165" s="834"/>
      <c r="AG165" s="834" t="s">
        <v>1527</v>
      </c>
      <c r="AH165" s="834"/>
      <c r="AI165" s="834" t="s">
        <v>1528</v>
      </c>
      <c r="AJ165" s="834"/>
      <c r="AK165" s="834" t="s">
        <v>1529</v>
      </c>
      <c r="AL165" s="834"/>
      <c r="AM165" s="834"/>
      <c r="AN165" s="834"/>
      <c r="AO165" s="834"/>
      <c r="AP165" s="834"/>
      <c r="AQ165" s="834" t="s">
        <v>1530</v>
      </c>
      <c r="AR165" s="834"/>
      <c r="AS165" s="834"/>
      <c r="AT165" s="834"/>
      <c r="AU165" s="834"/>
      <c r="AV165" s="834"/>
      <c r="AW165" s="834" t="s">
        <v>1531</v>
      </c>
      <c r="AX165" s="834"/>
      <c r="AY165" s="834"/>
      <c r="AZ165" s="834"/>
      <c r="BA165" s="834"/>
      <c r="BB165" s="834"/>
      <c r="BC165" s="834" t="s">
        <v>1532</v>
      </c>
      <c r="BD165" s="834"/>
      <c r="BE165" s="834"/>
      <c r="BF165" s="834"/>
      <c r="BG165" s="834"/>
      <c r="BH165" s="874"/>
    </row>
    <row r="166" ht="15.95" customHeight="1" spans="1:60">
      <c r="A166" s="825"/>
      <c r="B166" s="825"/>
      <c r="C166" s="825"/>
      <c r="D166" s="826"/>
      <c r="E166" s="833" t="s">
        <v>1402</v>
      </c>
      <c r="F166" s="833"/>
      <c r="G166" s="833"/>
      <c r="H166" s="833"/>
      <c r="I166" s="834" t="s">
        <v>1533</v>
      </c>
      <c r="J166" s="834"/>
      <c r="K166" s="834"/>
      <c r="L166" s="834"/>
      <c r="M166" s="834"/>
      <c r="N166" s="834"/>
      <c r="O166" s="845" t="s">
        <v>1534</v>
      </c>
      <c r="P166" s="845"/>
      <c r="Q166" s="845"/>
      <c r="R166" s="845"/>
      <c r="S166" s="845"/>
      <c r="T166" s="845"/>
      <c r="U166" s="834" t="s">
        <v>1535</v>
      </c>
      <c r="V166" s="834"/>
      <c r="W166" s="834"/>
      <c r="X166" s="834"/>
      <c r="Y166" s="834"/>
      <c r="Z166" s="834"/>
      <c r="AA166" s="834" t="s">
        <v>1536</v>
      </c>
      <c r="AB166" s="834"/>
      <c r="AC166" s="834"/>
      <c r="AD166" s="834"/>
      <c r="AE166" s="834"/>
      <c r="AF166" s="834"/>
      <c r="AG166" s="834" t="s">
        <v>1537</v>
      </c>
      <c r="AH166" s="834"/>
      <c r="AI166" s="834" t="s">
        <v>1538</v>
      </c>
      <c r="AJ166" s="834"/>
      <c r="AK166" s="834" t="s">
        <v>1539</v>
      </c>
      <c r="AL166" s="834"/>
      <c r="AM166" s="834"/>
      <c r="AN166" s="834"/>
      <c r="AO166" s="834"/>
      <c r="AP166" s="834"/>
      <c r="AQ166" s="834" t="s">
        <v>1540</v>
      </c>
      <c r="AR166" s="834"/>
      <c r="AS166" s="834"/>
      <c r="AT166" s="834"/>
      <c r="AU166" s="834"/>
      <c r="AV166" s="834"/>
      <c r="AW166" s="834" t="s">
        <v>1541</v>
      </c>
      <c r="AX166" s="834"/>
      <c r="AY166" s="834"/>
      <c r="AZ166" s="834"/>
      <c r="BA166" s="834"/>
      <c r="BB166" s="834"/>
      <c r="BC166" s="834" t="s">
        <v>1542</v>
      </c>
      <c r="BD166" s="834"/>
      <c r="BE166" s="834"/>
      <c r="BF166" s="834"/>
      <c r="BG166" s="834"/>
      <c r="BH166" s="834"/>
    </row>
    <row r="167" ht="15.95" customHeight="1" spans="1:60">
      <c r="A167" s="825"/>
      <c r="B167" s="825"/>
      <c r="C167" s="825"/>
      <c r="D167" s="826"/>
      <c r="E167" s="833" t="s">
        <v>1413</v>
      </c>
      <c r="F167" s="833"/>
      <c r="G167" s="833"/>
      <c r="H167" s="833"/>
      <c r="I167" s="845" t="s">
        <v>1543</v>
      </c>
      <c r="J167" s="845"/>
      <c r="K167" s="845"/>
      <c r="L167" s="845"/>
      <c r="M167" s="845"/>
      <c r="N167" s="845"/>
      <c r="O167" s="834" t="s">
        <v>1544</v>
      </c>
      <c r="P167" s="834"/>
      <c r="Q167" s="834"/>
      <c r="R167" s="834"/>
      <c r="S167" s="834"/>
      <c r="T167" s="834"/>
      <c r="U167" s="834" t="s">
        <v>1545</v>
      </c>
      <c r="V167" s="834"/>
      <c r="W167" s="834"/>
      <c r="X167" s="834"/>
      <c r="Y167" s="834"/>
      <c r="Z167" s="834"/>
      <c r="AA167" s="834" t="s">
        <v>1546</v>
      </c>
      <c r="AB167" s="834"/>
      <c r="AC167" s="834"/>
      <c r="AD167" s="834"/>
      <c r="AE167" s="834"/>
      <c r="AF167" s="834"/>
      <c r="AG167" s="834" t="s">
        <v>1547</v>
      </c>
      <c r="AH167" s="834"/>
      <c r="AI167" s="834" t="s">
        <v>1548</v>
      </c>
      <c r="AJ167" s="834"/>
      <c r="AK167" s="834" t="s">
        <v>1549</v>
      </c>
      <c r="AL167" s="834"/>
      <c r="AM167" s="834"/>
      <c r="AN167" s="834"/>
      <c r="AO167" s="834"/>
      <c r="AP167" s="834"/>
      <c r="AQ167" s="834" t="s">
        <v>1550</v>
      </c>
      <c r="AR167" s="834"/>
      <c r="AS167" s="834"/>
      <c r="AT167" s="834"/>
      <c r="AU167" s="834"/>
      <c r="AV167" s="834"/>
      <c r="AW167" s="834" t="s">
        <v>1551</v>
      </c>
      <c r="AX167" s="834"/>
      <c r="AY167" s="834"/>
      <c r="AZ167" s="834"/>
      <c r="BA167" s="834"/>
      <c r="BB167" s="834"/>
      <c r="BC167" s="834" t="s">
        <v>1552</v>
      </c>
      <c r="BD167" s="834"/>
      <c r="BE167" s="834"/>
      <c r="BF167" s="834"/>
      <c r="BG167" s="834"/>
      <c r="BH167" s="874"/>
    </row>
    <row r="168" ht="15.95" customHeight="1" spans="1:60">
      <c r="A168" s="825"/>
      <c r="B168" s="825"/>
      <c r="C168" s="825"/>
      <c r="D168" s="826"/>
      <c r="E168" s="833" t="s">
        <v>1424</v>
      </c>
      <c r="F168" s="833"/>
      <c r="G168" s="833"/>
      <c r="H168" s="833"/>
      <c r="I168" s="834" t="s">
        <v>1553</v>
      </c>
      <c r="J168" s="834"/>
      <c r="K168" s="834"/>
      <c r="L168" s="834"/>
      <c r="M168" s="834"/>
      <c r="N168" s="834"/>
      <c r="O168" s="845" t="s">
        <v>1554</v>
      </c>
      <c r="P168" s="845"/>
      <c r="Q168" s="845"/>
      <c r="R168" s="845"/>
      <c r="S168" s="845"/>
      <c r="T168" s="845"/>
      <c r="U168" s="845" t="s">
        <v>1555</v>
      </c>
      <c r="V168" s="845"/>
      <c r="W168" s="845"/>
      <c r="X168" s="845"/>
      <c r="Y168" s="845"/>
      <c r="Z168" s="845"/>
      <c r="AA168" s="834" t="s">
        <v>1556</v>
      </c>
      <c r="AB168" s="834"/>
      <c r="AC168" s="834"/>
      <c r="AD168" s="834"/>
      <c r="AE168" s="834"/>
      <c r="AF168" s="834"/>
      <c r="AG168" s="834" t="s">
        <v>1557</v>
      </c>
      <c r="AH168" s="834"/>
      <c r="AI168" s="834" t="s">
        <v>1558</v>
      </c>
      <c r="AJ168" s="834"/>
      <c r="AK168" s="845" t="s">
        <v>1559</v>
      </c>
      <c r="AL168" s="845"/>
      <c r="AM168" s="845"/>
      <c r="AN168" s="845"/>
      <c r="AO168" s="845"/>
      <c r="AP168" s="845"/>
      <c r="AQ168" s="834" t="s">
        <v>1560</v>
      </c>
      <c r="AR168" s="834"/>
      <c r="AS168" s="834"/>
      <c r="AT168" s="834"/>
      <c r="AU168" s="834"/>
      <c r="AV168" s="834"/>
      <c r="AW168" s="845" t="s">
        <v>1561</v>
      </c>
      <c r="AX168" s="845"/>
      <c r="AY168" s="845"/>
      <c r="AZ168" s="845"/>
      <c r="BA168" s="845"/>
      <c r="BB168" s="845"/>
      <c r="BC168" s="834" t="s">
        <v>1562</v>
      </c>
      <c r="BD168" s="834"/>
      <c r="BE168" s="834"/>
      <c r="BF168" s="834"/>
      <c r="BG168" s="834"/>
      <c r="BH168" s="834"/>
    </row>
    <row r="169" ht="15.95" customHeight="1" spans="1:60">
      <c r="A169" s="825"/>
      <c r="B169" s="825"/>
      <c r="C169" s="825"/>
      <c r="D169" s="826"/>
      <c r="E169" s="833" t="s">
        <v>1435</v>
      </c>
      <c r="F169" s="833"/>
      <c r="G169" s="833"/>
      <c r="H169" s="833"/>
      <c r="I169" s="845" t="s">
        <v>1563</v>
      </c>
      <c r="J169" s="845"/>
      <c r="K169" s="845"/>
      <c r="L169" s="845"/>
      <c r="M169" s="845"/>
      <c r="N169" s="845"/>
      <c r="O169" s="845" t="s">
        <v>1564</v>
      </c>
      <c r="P169" s="845"/>
      <c r="Q169" s="845"/>
      <c r="R169" s="845"/>
      <c r="S169" s="845"/>
      <c r="T169" s="845"/>
      <c r="U169" s="834" t="s">
        <v>1565</v>
      </c>
      <c r="V169" s="834"/>
      <c r="W169" s="834"/>
      <c r="X169" s="834"/>
      <c r="Y169" s="834"/>
      <c r="Z169" s="834"/>
      <c r="AA169" s="834" t="s">
        <v>1566</v>
      </c>
      <c r="AB169" s="834"/>
      <c r="AC169" s="834"/>
      <c r="AD169" s="834"/>
      <c r="AE169" s="834"/>
      <c r="AF169" s="834"/>
      <c r="AG169" s="834" t="s">
        <v>1567</v>
      </c>
      <c r="AH169" s="834"/>
      <c r="AI169" s="834" t="s">
        <v>1568</v>
      </c>
      <c r="AJ169" s="834"/>
      <c r="AK169" s="834" t="s">
        <v>1569</v>
      </c>
      <c r="AL169" s="834"/>
      <c r="AM169" s="834"/>
      <c r="AN169" s="834"/>
      <c r="AO169" s="834"/>
      <c r="AP169" s="834"/>
      <c r="AQ169" s="834" t="s">
        <v>1570</v>
      </c>
      <c r="AR169" s="834"/>
      <c r="AS169" s="834"/>
      <c r="AT169" s="834"/>
      <c r="AU169" s="834"/>
      <c r="AV169" s="834"/>
      <c r="AW169" s="834" t="s">
        <v>1571</v>
      </c>
      <c r="AX169" s="834"/>
      <c r="AY169" s="834"/>
      <c r="AZ169" s="834"/>
      <c r="BA169" s="834"/>
      <c r="BB169" s="834"/>
      <c r="BC169" s="834" t="s">
        <v>1572</v>
      </c>
      <c r="BD169" s="834"/>
      <c r="BE169" s="834"/>
      <c r="BF169" s="834"/>
      <c r="BG169" s="834"/>
      <c r="BH169" s="874"/>
    </row>
    <row r="170" ht="15.95" customHeight="1" spans="1:60">
      <c r="A170" s="825"/>
      <c r="B170" s="825"/>
      <c r="C170" s="825"/>
      <c r="D170" s="826"/>
      <c r="E170" s="833" t="s">
        <v>1446</v>
      </c>
      <c r="F170" s="833"/>
      <c r="G170" s="833"/>
      <c r="H170" s="833"/>
      <c r="I170" s="834" t="s">
        <v>1573</v>
      </c>
      <c r="J170" s="834"/>
      <c r="K170" s="834"/>
      <c r="L170" s="834"/>
      <c r="M170" s="834"/>
      <c r="N170" s="834"/>
      <c r="O170" s="845" t="s">
        <v>1574</v>
      </c>
      <c r="P170" s="845"/>
      <c r="Q170" s="845"/>
      <c r="R170" s="845"/>
      <c r="S170" s="845"/>
      <c r="T170" s="845"/>
      <c r="U170" s="834" t="s">
        <v>1575</v>
      </c>
      <c r="V170" s="834"/>
      <c r="W170" s="834"/>
      <c r="X170" s="834"/>
      <c r="Y170" s="834"/>
      <c r="Z170" s="834"/>
      <c r="AA170" s="834" t="s">
        <v>1576</v>
      </c>
      <c r="AB170" s="834"/>
      <c r="AC170" s="834"/>
      <c r="AD170" s="834"/>
      <c r="AE170" s="834"/>
      <c r="AF170" s="834"/>
      <c r="AG170" s="834" t="s">
        <v>1577</v>
      </c>
      <c r="AH170" s="834"/>
      <c r="AI170" s="834" t="s">
        <v>1578</v>
      </c>
      <c r="AJ170" s="834"/>
      <c r="AK170" s="834" t="s">
        <v>1579</v>
      </c>
      <c r="AL170" s="834"/>
      <c r="AM170" s="834"/>
      <c r="AN170" s="834"/>
      <c r="AO170" s="834"/>
      <c r="AP170" s="834"/>
      <c r="AQ170" s="834" t="s">
        <v>1580</v>
      </c>
      <c r="AR170" s="834"/>
      <c r="AS170" s="834"/>
      <c r="AT170" s="834"/>
      <c r="AU170" s="834"/>
      <c r="AV170" s="834"/>
      <c r="AW170" s="834" t="s">
        <v>1581</v>
      </c>
      <c r="AX170" s="834"/>
      <c r="AY170" s="834"/>
      <c r="AZ170" s="834"/>
      <c r="BA170" s="834"/>
      <c r="BB170" s="834"/>
      <c r="BC170" s="834" t="s">
        <v>1582</v>
      </c>
      <c r="BD170" s="834"/>
      <c r="BE170" s="834"/>
      <c r="BF170" s="834"/>
      <c r="BG170" s="834"/>
      <c r="BH170" s="834"/>
    </row>
    <row r="171" ht="15.95" customHeight="1" spans="1:60">
      <c r="A171" s="825"/>
      <c r="B171" s="825"/>
      <c r="C171" s="825"/>
      <c r="D171" s="826"/>
      <c r="E171" s="833" t="s">
        <v>1457</v>
      </c>
      <c r="F171" s="833"/>
      <c r="G171" s="833"/>
      <c r="H171" s="833"/>
      <c r="I171" s="845" t="s">
        <v>1583</v>
      </c>
      <c r="J171" s="845"/>
      <c r="K171" s="845"/>
      <c r="L171" s="845"/>
      <c r="M171" s="845"/>
      <c r="N171" s="845"/>
      <c r="O171" s="834" t="s">
        <v>1584</v>
      </c>
      <c r="P171" s="834"/>
      <c r="Q171" s="834"/>
      <c r="R171" s="834"/>
      <c r="S171" s="834"/>
      <c r="T171" s="834"/>
      <c r="U171" s="834" t="s">
        <v>1585</v>
      </c>
      <c r="V171" s="834"/>
      <c r="W171" s="834"/>
      <c r="X171" s="834"/>
      <c r="Y171" s="834"/>
      <c r="Z171" s="834"/>
      <c r="AA171" s="834" t="s">
        <v>1586</v>
      </c>
      <c r="AB171" s="834"/>
      <c r="AC171" s="834"/>
      <c r="AD171" s="834"/>
      <c r="AE171" s="834"/>
      <c r="AF171" s="834"/>
      <c r="AG171" s="834" t="s">
        <v>1587</v>
      </c>
      <c r="AH171" s="834"/>
      <c r="AI171" s="834" t="s">
        <v>1588</v>
      </c>
      <c r="AJ171" s="834"/>
      <c r="AK171" s="834" t="s">
        <v>1589</v>
      </c>
      <c r="AL171" s="834"/>
      <c r="AM171" s="834"/>
      <c r="AN171" s="834"/>
      <c r="AO171" s="834"/>
      <c r="AP171" s="834"/>
      <c r="AQ171" s="834" t="s">
        <v>1590</v>
      </c>
      <c r="AR171" s="834"/>
      <c r="AS171" s="834"/>
      <c r="AT171" s="834"/>
      <c r="AU171" s="834"/>
      <c r="AV171" s="834"/>
      <c r="AW171" s="834" t="s">
        <v>1591</v>
      </c>
      <c r="AX171" s="834"/>
      <c r="AY171" s="834"/>
      <c r="AZ171" s="834"/>
      <c r="BA171" s="834"/>
      <c r="BB171" s="834"/>
      <c r="BC171" s="834" t="s">
        <v>1592</v>
      </c>
      <c r="BD171" s="834"/>
      <c r="BE171" s="834"/>
      <c r="BF171" s="834"/>
      <c r="BG171" s="834"/>
      <c r="BH171" s="874"/>
    </row>
    <row r="172" ht="15.95" customHeight="1" spans="1:60">
      <c r="A172" s="825"/>
      <c r="B172" s="825"/>
      <c r="C172" s="825"/>
      <c r="D172" s="826"/>
      <c r="E172" s="833" t="s">
        <v>1468</v>
      </c>
      <c r="F172" s="833"/>
      <c r="G172" s="833"/>
      <c r="H172" s="833"/>
      <c r="I172" s="834" t="s">
        <v>1593</v>
      </c>
      <c r="J172" s="834"/>
      <c r="K172" s="834"/>
      <c r="L172" s="834"/>
      <c r="M172" s="834"/>
      <c r="N172" s="834"/>
      <c r="O172" s="845" t="s">
        <v>1594</v>
      </c>
      <c r="P172" s="845"/>
      <c r="Q172" s="845"/>
      <c r="R172" s="845"/>
      <c r="S172" s="845"/>
      <c r="T172" s="845"/>
      <c r="U172" s="845" t="s">
        <v>1595</v>
      </c>
      <c r="V172" s="845"/>
      <c r="W172" s="845"/>
      <c r="X172" s="845"/>
      <c r="Y172" s="845"/>
      <c r="Z172" s="845"/>
      <c r="AA172" s="834" t="s">
        <v>1596</v>
      </c>
      <c r="AB172" s="834"/>
      <c r="AC172" s="834"/>
      <c r="AD172" s="834"/>
      <c r="AE172" s="834"/>
      <c r="AF172" s="834"/>
      <c r="AG172" s="834" t="s">
        <v>1597</v>
      </c>
      <c r="AH172" s="834"/>
      <c r="AI172" s="834" t="s">
        <v>1598</v>
      </c>
      <c r="AJ172" s="834"/>
      <c r="AK172" s="845" t="s">
        <v>1599</v>
      </c>
      <c r="AL172" s="845"/>
      <c r="AM172" s="845"/>
      <c r="AN172" s="845"/>
      <c r="AO172" s="845"/>
      <c r="AP172" s="845"/>
      <c r="AQ172" s="834" t="s">
        <v>1600</v>
      </c>
      <c r="AR172" s="834"/>
      <c r="AS172" s="834"/>
      <c r="AT172" s="834"/>
      <c r="AU172" s="834"/>
      <c r="AV172" s="834"/>
      <c r="AW172" s="845" t="s">
        <v>1601</v>
      </c>
      <c r="AX172" s="845"/>
      <c r="AY172" s="845"/>
      <c r="AZ172" s="845"/>
      <c r="BA172" s="845"/>
      <c r="BB172" s="845"/>
      <c r="BC172" s="834" t="s">
        <v>1602</v>
      </c>
      <c r="BD172" s="834"/>
      <c r="BE172" s="834"/>
      <c r="BF172" s="834"/>
      <c r="BG172" s="834"/>
      <c r="BH172" s="834"/>
    </row>
    <row r="173" ht="15.95" customHeight="1" spans="1:60">
      <c r="A173" s="825"/>
      <c r="B173" s="825"/>
      <c r="C173" s="825"/>
      <c r="D173" s="826"/>
      <c r="E173" s="833" t="s">
        <v>1479</v>
      </c>
      <c r="F173" s="833"/>
      <c r="G173" s="833"/>
      <c r="H173" s="833"/>
      <c r="I173" s="845" t="s">
        <v>1603</v>
      </c>
      <c r="J173" s="845"/>
      <c r="K173" s="845"/>
      <c r="L173" s="845"/>
      <c r="M173" s="845"/>
      <c r="N173" s="845"/>
      <c r="O173" s="845" t="s">
        <v>1604</v>
      </c>
      <c r="P173" s="845"/>
      <c r="Q173" s="845"/>
      <c r="R173" s="845"/>
      <c r="S173" s="845"/>
      <c r="T173" s="845"/>
      <c r="U173" s="834" t="s">
        <v>1605</v>
      </c>
      <c r="V173" s="834"/>
      <c r="W173" s="834"/>
      <c r="X173" s="834"/>
      <c r="Y173" s="834"/>
      <c r="Z173" s="834"/>
      <c r="AA173" s="834" t="s">
        <v>1606</v>
      </c>
      <c r="AB173" s="834"/>
      <c r="AC173" s="834"/>
      <c r="AD173" s="834"/>
      <c r="AE173" s="834"/>
      <c r="AF173" s="834"/>
      <c r="AG173" s="834" t="s">
        <v>1607</v>
      </c>
      <c r="AH173" s="834"/>
      <c r="AI173" s="834" t="s">
        <v>1608</v>
      </c>
      <c r="AJ173" s="834"/>
      <c r="AK173" s="834" t="s">
        <v>1609</v>
      </c>
      <c r="AL173" s="834"/>
      <c r="AM173" s="834"/>
      <c r="AN173" s="834"/>
      <c r="AO173" s="834"/>
      <c r="AP173" s="834"/>
      <c r="AQ173" s="834" t="s">
        <v>1610</v>
      </c>
      <c r="AR173" s="834"/>
      <c r="AS173" s="834"/>
      <c r="AT173" s="834"/>
      <c r="AU173" s="834"/>
      <c r="AV173" s="834"/>
      <c r="AW173" s="834" t="s">
        <v>1611</v>
      </c>
      <c r="AX173" s="834"/>
      <c r="AY173" s="834"/>
      <c r="AZ173" s="834"/>
      <c r="BA173" s="834"/>
      <c r="BB173" s="834"/>
      <c r="BC173" s="834" t="s">
        <v>1612</v>
      </c>
      <c r="BD173" s="834"/>
      <c r="BE173" s="834"/>
      <c r="BF173" s="834"/>
      <c r="BG173" s="834"/>
      <c r="BH173" s="874"/>
    </row>
    <row r="174" ht="15.95" customHeight="1" spans="1:60">
      <c r="A174" s="825"/>
      <c r="B174" s="825"/>
      <c r="C174" s="825"/>
      <c r="D174" s="826"/>
      <c r="E174" s="875" t="s">
        <v>1347</v>
      </c>
      <c r="F174" s="875"/>
      <c r="G174" s="875"/>
      <c r="H174" s="875"/>
      <c r="I174" s="888" t="s">
        <v>1613</v>
      </c>
      <c r="J174" s="888"/>
      <c r="K174" s="888"/>
      <c r="L174" s="888"/>
      <c r="M174" s="888"/>
      <c r="N174" s="888"/>
      <c r="O174" s="889" t="s">
        <v>1614</v>
      </c>
      <c r="P174" s="889"/>
      <c r="Q174" s="889"/>
      <c r="R174" s="889"/>
      <c r="S174" s="889"/>
      <c r="T174" s="889"/>
      <c r="U174" s="889" t="s">
        <v>1615</v>
      </c>
      <c r="V174" s="889"/>
      <c r="W174" s="889"/>
      <c r="X174" s="889"/>
      <c r="Y174" s="889"/>
      <c r="Z174" s="889"/>
      <c r="AA174" s="889" t="s">
        <v>1616</v>
      </c>
      <c r="AB174" s="889"/>
      <c r="AC174" s="889"/>
      <c r="AD174" s="889"/>
      <c r="AE174" s="889"/>
      <c r="AF174" s="889"/>
      <c r="AG174" s="889" t="s">
        <v>1617</v>
      </c>
      <c r="AH174" s="889"/>
      <c r="AI174" s="889" t="s">
        <v>1618</v>
      </c>
      <c r="AJ174" s="889"/>
      <c r="AK174" s="888" t="s">
        <v>1619</v>
      </c>
      <c r="AL174" s="888"/>
      <c r="AM174" s="888"/>
      <c r="AN174" s="888"/>
      <c r="AO174" s="888"/>
      <c r="AP174" s="888"/>
      <c r="AQ174" s="889" t="s">
        <v>1620</v>
      </c>
      <c r="AR174" s="889"/>
      <c r="AS174" s="889"/>
      <c r="AT174" s="889"/>
      <c r="AU174" s="889"/>
      <c r="AV174" s="889"/>
      <c r="AW174" s="889" t="s">
        <v>1621</v>
      </c>
      <c r="AX174" s="889"/>
      <c r="AY174" s="889"/>
      <c r="AZ174" s="889"/>
      <c r="BA174" s="889"/>
      <c r="BB174" s="889"/>
      <c r="BC174" s="889" t="s">
        <v>1622</v>
      </c>
      <c r="BD174" s="889"/>
      <c r="BE174" s="889"/>
      <c r="BF174" s="889"/>
      <c r="BG174" s="889"/>
      <c r="BH174" s="896"/>
    </row>
    <row r="175" ht="15.95" customHeight="1" spans="1:60">
      <c r="A175" s="825"/>
      <c r="B175" s="825"/>
      <c r="C175" s="825"/>
      <c r="D175" s="826"/>
      <c r="E175" s="833" t="s">
        <v>1623</v>
      </c>
      <c r="F175" s="833"/>
      <c r="G175" s="833"/>
      <c r="H175" s="833"/>
      <c r="I175" s="834" t="s">
        <v>1624</v>
      </c>
      <c r="J175" s="834"/>
      <c r="K175" s="834"/>
      <c r="L175" s="834"/>
      <c r="M175" s="834"/>
      <c r="N175" s="834"/>
      <c r="O175" s="845" t="s">
        <v>1625</v>
      </c>
      <c r="P175" s="845"/>
      <c r="Q175" s="845"/>
      <c r="R175" s="845"/>
      <c r="S175" s="845"/>
      <c r="T175" s="845"/>
      <c r="U175" s="845" t="s">
        <v>1626</v>
      </c>
      <c r="V175" s="845"/>
      <c r="W175" s="845"/>
      <c r="X175" s="845"/>
      <c r="Y175" s="845"/>
      <c r="Z175" s="845"/>
      <c r="AA175" s="834" t="s">
        <v>1627</v>
      </c>
      <c r="AB175" s="834"/>
      <c r="AC175" s="834"/>
      <c r="AD175" s="834"/>
      <c r="AE175" s="834"/>
      <c r="AF175" s="834"/>
      <c r="AG175" s="834" t="s">
        <v>1628</v>
      </c>
      <c r="AH175" s="834"/>
      <c r="AI175" s="834" t="s">
        <v>1629</v>
      </c>
      <c r="AJ175" s="834"/>
      <c r="AK175" s="834" t="s">
        <v>1630</v>
      </c>
      <c r="AL175" s="834"/>
      <c r="AM175" s="834"/>
      <c r="AN175" s="834"/>
      <c r="AO175" s="834"/>
      <c r="AP175" s="834"/>
      <c r="AQ175" s="845" t="s">
        <v>1631</v>
      </c>
      <c r="AR175" s="845"/>
      <c r="AS175" s="845"/>
      <c r="AT175" s="845"/>
      <c r="AU175" s="845"/>
      <c r="AV175" s="845"/>
      <c r="AW175" s="845" t="s">
        <v>1632</v>
      </c>
      <c r="AX175" s="845"/>
      <c r="AY175" s="845"/>
      <c r="AZ175" s="845"/>
      <c r="BA175" s="845"/>
      <c r="BB175" s="845"/>
      <c r="BC175" s="834" t="s">
        <v>1633</v>
      </c>
      <c r="BD175" s="834"/>
      <c r="BE175" s="834"/>
      <c r="BF175" s="834"/>
      <c r="BG175" s="834"/>
      <c r="BH175" s="834"/>
    </row>
    <row r="176" ht="15.95" customHeight="1" spans="1:60">
      <c r="A176" s="876"/>
      <c r="B176" s="876"/>
      <c r="C176" s="876"/>
      <c r="D176" s="877"/>
      <c r="E176" s="833" t="s">
        <v>1634</v>
      </c>
      <c r="F176" s="833"/>
      <c r="G176" s="833"/>
      <c r="H176" s="833"/>
      <c r="I176" s="845" t="s">
        <v>1635</v>
      </c>
      <c r="J176" s="845"/>
      <c r="K176" s="845"/>
      <c r="L176" s="845"/>
      <c r="M176" s="845"/>
      <c r="N176" s="845"/>
      <c r="O176" s="845" t="s">
        <v>1636</v>
      </c>
      <c r="P176" s="845"/>
      <c r="Q176" s="845"/>
      <c r="R176" s="845"/>
      <c r="S176" s="845"/>
      <c r="T176" s="845"/>
      <c r="U176" s="834" t="s">
        <v>1637</v>
      </c>
      <c r="V176" s="834"/>
      <c r="W176" s="834"/>
      <c r="X176" s="834"/>
      <c r="Y176" s="834"/>
      <c r="Z176" s="834"/>
      <c r="AA176" s="892" t="s">
        <v>1638</v>
      </c>
      <c r="AB176" s="892"/>
      <c r="AC176" s="892"/>
      <c r="AD176" s="892"/>
      <c r="AE176" s="892"/>
      <c r="AF176" s="892"/>
      <c r="AG176" s="895" t="s">
        <v>1639</v>
      </c>
      <c r="AH176" s="895"/>
      <c r="AI176" s="895" t="s">
        <v>1640</v>
      </c>
      <c r="AJ176" s="895"/>
      <c r="AK176" s="845" t="s">
        <v>1641</v>
      </c>
      <c r="AL176" s="845"/>
      <c r="AM176" s="845"/>
      <c r="AN176" s="845"/>
      <c r="AO176" s="845"/>
      <c r="AP176" s="845"/>
      <c r="AQ176" s="845" t="s">
        <v>1642</v>
      </c>
      <c r="AR176" s="845"/>
      <c r="AS176" s="845"/>
      <c r="AT176" s="845"/>
      <c r="AU176" s="845"/>
      <c r="AV176" s="845"/>
      <c r="AW176" s="834" t="s">
        <v>1643</v>
      </c>
      <c r="AX176" s="834"/>
      <c r="AY176" s="834"/>
      <c r="AZ176" s="834"/>
      <c r="BA176" s="834"/>
      <c r="BB176" s="834"/>
      <c r="BC176" s="834" t="s">
        <v>1644</v>
      </c>
      <c r="BD176" s="834"/>
      <c r="BE176" s="834"/>
      <c r="BF176" s="834"/>
      <c r="BG176" s="834"/>
      <c r="BH176" s="874"/>
    </row>
    <row r="177" ht="15.95" customHeight="1" spans="1:60">
      <c r="A177" s="818" t="s">
        <v>223</v>
      </c>
      <c r="B177" s="819"/>
      <c r="C177" s="819"/>
      <c r="D177" s="820"/>
      <c r="E177" s="878"/>
      <c r="F177" s="879"/>
      <c r="G177" s="879"/>
      <c r="H177" s="879"/>
      <c r="I177" s="879"/>
      <c r="J177" s="879"/>
      <c r="K177" s="879"/>
      <c r="L177" s="879"/>
      <c r="M177" s="879"/>
      <c r="N177" s="879"/>
      <c r="O177" s="879"/>
      <c r="P177" s="879"/>
      <c r="Q177" s="879"/>
      <c r="R177" s="879"/>
      <c r="S177" s="879"/>
      <c r="T177" s="879"/>
      <c r="U177" s="879"/>
      <c r="V177" s="879"/>
      <c r="W177" s="879"/>
      <c r="X177" s="879"/>
      <c r="Y177" s="879"/>
      <c r="Z177" s="879"/>
      <c r="AA177" s="882"/>
      <c r="AB177" s="882"/>
      <c r="AC177" s="882"/>
      <c r="AD177" s="882"/>
      <c r="AE177" s="882"/>
      <c r="AF177" s="882"/>
      <c r="AG177" s="882"/>
      <c r="AH177" s="882"/>
      <c r="AI177" s="882"/>
      <c r="AJ177" s="882"/>
      <c r="AK177" s="879"/>
      <c r="AL177" s="879"/>
      <c r="AM177" s="879"/>
      <c r="AN177" s="879"/>
      <c r="AO177" s="879"/>
      <c r="AP177" s="879"/>
      <c r="AQ177" s="879"/>
      <c r="AR177" s="879"/>
      <c r="AS177" s="879"/>
      <c r="AT177" s="879"/>
      <c r="AU177" s="879"/>
      <c r="AV177" s="879"/>
      <c r="AW177" s="879"/>
      <c r="AX177" s="879"/>
      <c r="AY177" s="879"/>
      <c r="AZ177" s="879"/>
      <c r="BA177" s="879"/>
      <c r="BB177" s="879"/>
      <c r="BC177" s="879"/>
      <c r="BD177" s="879"/>
      <c r="BE177" s="879"/>
      <c r="BF177" s="879"/>
      <c r="BG177" s="879"/>
      <c r="BH177" s="897"/>
    </row>
    <row r="178" ht="15.95" customHeight="1" spans="1:60">
      <c r="A178" s="824"/>
      <c r="B178" s="880"/>
      <c r="C178" s="880"/>
      <c r="D178" s="826"/>
      <c r="E178" s="881"/>
      <c r="F178" s="882"/>
      <c r="G178" s="882"/>
      <c r="H178" s="882"/>
      <c r="I178" s="882"/>
      <c r="J178" s="882"/>
      <c r="K178" s="882"/>
      <c r="L178" s="882"/>
      <c r="M178" s="882"/>
      <c r="N178" s="882"/>
      <c r="O178" s="882"/>
      <c r="P178" s="882"/>
      <c r="Q178" s="882"/>
      <c r="R178" s="882"/>
      <c r="S178" s="882"/>
      <c r="T178" s="882"/>
      <c r="U178" s="882"/>
      <c r="V178" s="882"/>
      <c r="W178" s="882"/>
      <c r="X178" s="882"/>
      <c r="Y178" s="882"/>
      <c r="Z178" s="882"/>
      <c r="AA178" s="882"/>
      <c r="AB178" s="882"/>
      <c r="AC178" s="882"/>
      <c r="AD178" s="882"/>
      <c r="AE178" s="882"/>
      <c r="AF178" s="882"/>
      <c r="AG178" s="882"/>
      <c r="AH178" s="882"/>
      <c r="AI178" s="882"/>
      <c r="AJ178" s="882"/>
      <c r="AK178" s="882"/>
      <c r="AL178" s="882"/>
      <c r="AM178" s="882"/>
      <c r="AN178" s="882"/>
      <c r="AO178" s="882"/>
      <c r="AP178" s="882"/>
      <c r="AQ178" s="882"/>
      <c r="AR178" s="882"/>
      <c r="AS178" s="882"/>
      <c r="AT178" s="882"/>
      <c r="AU178" s="882"/>
      <c r="AV178" s="882"/>
      <c r="AW178" s="882"/>
      <c r="AX178" s="882"/>
      <c r="AY178" s="882"/>
      <c r="AZ178" s="882"/>
      <c r="BA178" s="882"/>
      <c r="BB178" s="882"/>
      <c r="BC178" s="882"/>
      <c r="BD178" s="882"/>
      <c r="BE178" s="882"/>
      <c r="BF178" s="882"/>
      <c r="BG178" s="882"/>
      <c r="BH178" s="898"/>
    </row>
    <row r="179" ht="21.75" customHeight="1" spans="1:60">
      <c r="A179" s="883" t="str">
        <f>IF(目录!G2="中文",对照!Z121,IF(目录!G2="English",对照!AA121,对照!Z121))</f>
        <v>试模员:</v>
      </c>
      <c r="B179" s="884"/>
      <c r="C179" s="884"/>
      <c r="D179" s="884"/>
      <c r="E179" s="884"/>
      <c r="F179" s="885"/>
      <c r="G179" s="885"/>
      <c r="H179" s="885"/>
      <c r="I179" s="885"/>
      <c r="J179" s="885"/>
      <c r="K179" s="885"/>
      <c r="L179" s="885"/>
      <c r="M179" s="885"/>
      <c r="N179" s="885"/>
      <c r="O179" s="890" t="str">
        <f>IF(目录!G2="中文",对照!Z122,IF(目录!G2="English",对照!AA122,对照!Z122))</f>
        <v>日期:</v>
      </c>
      <c r="P179" s="890"/>
      <c r="Q179" s="890"/>
      <c r="R179" s="890"/>
      <c r="S179" s="890"/>
      <c r="T179" s="891"/>
      <c r="U179" s="891"/>
      <c r="V179" s="891"/>
      <c r="W179" s="891"/>
      <c r="X179" s="891"/>
      <c r="Y179" s="891"/>
      <c r="Z179" s="891"/>
      <c r="AA179" s="891"/>
      <c r="AB179" s="891"/>
      <c r="AC179" s="890" t="str">
        <f>IF(目录!G2="中文",对照!Z123,IF(目录!G2="English",对照!AA123,对照!Z123))</f>
        <v>审核:</v>
      </c>
      <c r="AD179" s="890"/>
      <c r="AE179" s="890"/>
      <c r="AF179" s="890"/>
      <c r="AG179" s="890"/>
      <c r="AH179" s="890"/>
      <c r="AI179" s="890"/>
      <c r="AJ179" s="890"/>
      <c r="AK179" s="885"/>
      <c r="AL179" s="885"/>
      <c r="AM179" s="885"/>
      <c r="AN179" s="885"/>
      <c r="AO179" s="885"/>
      <c r="AP179" s="885"/>
      <c r="AQ179" s="885"/>
      <c r="AR179" s="885"/>
      <c r="AS179" s="885"/>
      <c r="AT179" s="890" t="str">
        <f>IF(目录!G2="中文",对照!Z122,IF(目录!G2="English",对照!AA122,对照!Z122))</f>
        <v>日期:</v>
      </c>
      <c r="AU179" s="890"/>
      <c r="AV179" s="890"/>
      <c r="AW179" s="890"/>
      <c r="AX179" s="890"/>
      <c r="AY179" s="891"/>
      <c r="AZ179" s="891"/>
      <c r="BA179" s="891"/>
      <c r="BB179" s="891"/>
      <c r="BC179" s="891"/>
      <c r="BD179" s="891"/>
      <c r="BE179" s="891"/>
      <c r="BF179" s="891"/>
      <c r="BG179" s="891"/>
      <c r="BH179" s="899"/>
    </row>
    <row r="180" ht="15.95" customHeight="1" spans="1:60">
      <c r="A180" s="886"/>
      <c r="B180" s="886"/>
      <c r="C180" s="886"/>
      <c r="D180" s="886"/>
      <c r="E180" s="886"/>
      <c r="F180" s="886"/>
      <c r="G180" s="886"/>
      <c r="H180" s="886"/>
      <c r="I180" s="886"/>
      <c r="J180" s="886"/>
      <c r="K180" s="886"/>
      <c r="L180" s="886"/>
      <c r="M180" s="886"/>
      <c r="N180" s="886"/>
      <c r="O180" s="886"/>
      <c r="P180" s="886"/>
      <c r="Q180" s="886"/>
      <c r="R180" s="886"/>
      <c r="S180" s="886"/>
      <c r="T180" s="886"/>
      <c r="U180" s="886"/>
      <c r="V180" s="886"/>
      <c r="W180" s="886"/>
      <c r="X180" s="886"/>
      <c r="Y180" s="886"/>
      <c r="Z180" s="886"/>
      <c r="AA180" s="886"/>
      <c r="AB180" s="886"/>
      <c r="AC180" s="886"/>
      <c r="AD180" s="886"/>
      <c r="AE180" s="886"/>
      <c r="AF180" s="886"/>
      <c r="AG180" s="886"/>
      <c r="AH180" s="886"/>
      <c r="AI180" s="886"/>
      <c r="AJ180" s="886"/>
      <c r="AK180" s="886"/>
      <c r="AL180" s="886"/>
      <c r="AM180" s="886"/>
      <c r="AN180" s="886"/>
      <c r="AO180" s="886"/>
      <c r="AP180" s="886"/>
      <c r="AQ180" s="886"/>
      <c r="AR180" s="886"/>
      <c r="AS180" s="886"/>
      <c r="AT180" s="886"/>
      <c r="AU180" s="886"/>
      <c r="AV180" s="886"/>
      <c r="AW180" s="886"/>
      <c r="AX180" s="886"/>
      <c r="AY180" s="886"/>
      <c r="AZ180" s="886"/>
      <c r="BA180" s="886"/>
      <c r="BB180" s="886"/>
      <c r="BC180" s="886"/>
      <c r="BD180" s="886"/>
      <c r="BE180" s="886"/>
      <c r="BF180" s="886"/>
      <c r="BG180" s="900" t="s">
        <v>882</v>
      </c>
      <c r="BH180" s="886"/>
    </row>
  </sheetData>
  <mergeCells count="1527">
    <mergeCell ref="A1:BH1"/>
    <mergeCell ref="A2:BH2"/>
    <mergeCell ref="A3:BH3"/>
    <mergeCell ref="A4:H4"/>
    <mergeCell ref="I4:T4"/>
    <mergeCell ref="U4:AB4"/>
    <mergeCell ref="AC4:AN4"/>
    <mergeCell ref="AO4:AV4"/>
    <mergeCell ref="AW4:BH4"/>
    <mergeCell ref="A5:H5"/>
    <mergeCell ref="I5:P5"/>
    <mergeCell ref="Q5:T5"/>
    <mergeCell ref="U5:AB5"/>
    <mergeCell ref="AC5:AN5"/>
    <mergeCell ref="AO5:BH5"/>
    <mergeCell ref="A6:BH6"/>
    <mergeCell ref="A7:H7"/>
    <mergeCell ref="I7:P7"/>
    <mergeCell ref="Q7:T7"/>
    <mergeCell ref="U7:AB7"/>
    <mergeCell ref="AC7:AN7"/>
    <mergeCell ref="AO7:AV7"/>
    <mergeCell ref="AW7:BH7"/>
    <mergeCell ref="A8:H8"/>
    <mergeCell ref="I8:P8"/>
    <mergeCell ref="Q8:T8"/>
    <mergeCell ref="U8:AB8"/>
    <mergeCell ref="AC8:AJ8"/>
    <mergeCell ref="AK8:AN8"/>
    <mergeCell ref="AO8:BH8"/>
    <mergeCell ref="A9:H9"/>
    <mergeCell ref="I9:P9"/>
    <mergeCell ref="Q9:T9"/>
    <mergeCell ref="U9:AB9"/>
    <mergeCell ref="AC9:AJ9"/>
    <mergeCell ref="AK9:AN9"/>
    <mergeCell ref="AO9:AV9"/>
    <mergeCell ref="AW9:BH9"/>
    <mergeCell ref="A10:P10"/>
    <mergeCell ref="Q10:X10"/>
    <mergeCell ref="Y10:AD10"/>
    <mergeCell ref="AE10:AT10"/>
    <mergeCell ref="AU10:BB10"/>
    <mergeCell ref="BC10:BH10"/>
    <mergeCell ref="A11:H11"/>
    <mergeCell ref="I11:P11"/>
    <mergeCell ref="Q11:T11"/>
    <mergeCell ref="U11:AB11"/>
    <mergeCell ref="AC11:AJ11"/>
    <mergeCell ref="AK11:AN11"/>
    <mergeCell ref="AO11:AV11"/>
    <mergeCell ref="AW11:BD11"/>
    <mergeCell ref="BE11:BH11"/>
    <mergeCell ref="A12:H12"/>
    <mergeCell ref="I12:P12"/>
    <mergeCell ref="Q12:V12"/>
    <mergeCell ref="W12:AH12"/>
    <mergeCell ref="AI12:AN12"/>
    <mergeCell ref="AO12:BB12"/>
    <mergeCell ref="BC12:BH12"/>
    <mergeCell ref="A13:BH13"/>
    <mergeCell ref="A14:O14"/>
    <mergeCell ref="P14:T14"/>
    <mergeCell ref="U14:Y14"/>
    <mergeCell ref="Z14:AI14"/>
    <mergeCell ref="AJ14:AN14"/>
    <mergeCell ref="AO14:BH14"/>
    <mergeCell ref="A15:J15"/>
    <mergeCell ref="K15:O15"/>
    <mergeCell ref="P15:T15"/>
    <mergeCell ref="U15:Y15"/>
    <mergeCell ref="Z15:AD15"/>
    <mergeCell ref="AE15:AI15"/>
    <mergeCell ref="AJ15:AN15"/>
    <mergeCell ref="AO15:AS15"/>
    <mergeCell ref="AT15:AX15"/>
    <mergeCell ref="AY15:BC15"/>
    <mergeCell ref="BD15:BH15"/>
    <mergeCell ref="A16:J16"/>
    <mergeCell ref="K16:O16"/>
    <mergeCell ref="P16:T16"/>
    <mergeCell ref="U16:Y16"/>
    <mergeCell ref="Z16:AD16"/>
    <mergeCell ref="AE16:AI16"/>
    <mergeCell ref="AJ16:AN16"/>
    <mergeCell ref="AO16:AS16"/>
    <mergeCell ref="AT16:AX16"/>
    <mergeCell ref="AY16:BC16"/>
    <mergeCell ref="BD16:BH16"/>
    <mergeCell ref="A17:E17"/>
    <mergeCell ref="F17:J17"/>
    <mergeCell ref="K17:O17"/>
    <mergeCell ref="P17:T17"/>
    <mergeCell ref="U17:Y17"/>
    <mergeCell ref="Z17:AD17"/>
    <mergeCell ref="AE17:AI17"/>
    <mergeCell ref="AJ17:AN17"/>
    <mergeCell ref="AO17:AS17"/>
    <mergeCell ref="AT17:AX17"/>
    <mergeCell ref="AY17:BC17"/>
    <mergeCell ref="BD17:BH17"/>
    <mergeCell ref="A18:E18"/>
    <mergeCell ref="F18:J18"/>
    <mergeCell ref="K18:O18"/>
    <mergeCell ref="P18:T18"/>
    <mergeCell ref="U18:Y18"/>
    <mergeCell ref="Z18:AD18"/>
    <mergeCell ref="AE18:AI18"/>
    <mergeCell ref="AJ18:AN18"/>
    <mergeCell ref="AO18:AS18"/>
    <mergeCell ref="AT18:AX18"/>
    <mergeCell ref="AY18:BC18"/>
    <mergeCell ref="BD18:BH18"/>
    <mergeCell ref="A19:E19"/>
    <mergeCell ref="F19:J19"/>
    <mergeCell ref="K19:O19"/>
    <mergeCell ref="P19:T19"/>
    <mergeCell ref="U19:Y19"/>
    <mergeCell ref="Z19:AD19"/>
    <mergeCell ref="AE19:AI19"/>
    <mergeCell ref="AJ19:AN19"/>
    <mergeCell ref="AO19:AS19"/>
    <mergeCell ref="AT19:AX19"/>
    <mergeCell ref="AY19:BC19"/>
    <mergeCell ref="BD19:BH19"/>
    <mergeCell ref="A20:E20"/>
    <mergeCell ref="F20:J20"/>
    <mergeCell ref="K20:O20"/>
    <mergeCell ref="P20:T20"/>
    <mergeCell ref="U20:Y20"/>
    <mergeCell ref="Z20:AD20"/>
    <mergeCell ref="AE20:AI20"/>
    <mergeCell ref="AJ20:AN20"/>
    <mergeCell ref="AO20:AS20"/>
    <mergeCell ref="AT20:AX20"/>
    <mergeCell ref="AY20:BC20"/>
    <mergeCell ref="BD20:BH20"/>
    <mergeCell ref="A21:E21"/>
    <mergeCell ref="F21:J21"/>
    <mergeCell ref="K21:O21"/>
    <mergeCell ref="P21:T21"/>
    <mergeCell ref="U21:Y21"/>
    <mergeCell ref="Z21:AD21"/>
    <mergeCell ref="AE21:AI21"/>
    <mergeCell ref="AJ21:AN21"/>
    <mergeCell ref="AO21:AS21"/>
    <mergeCell ref="AT21:AX21"/>
    <mergeCell ref="AY21:BC21"/>
    <mergeCell ref="BD21:BH21"/>
    <mergeCell ref="A22:E22"/>
    <mergeCell ref="F22:J22"/>
    <mergeCell ref="K22:O22"/>
    <mergeCell ref="P22:T22"/>
    <mergeCell ref="U22:Y22"/>
    <mergeCell ref="Z22:AD22"/>
    <mergeCell ref="AE22:AI22"/>
    <mergeCell ref="AJ22:AN22"/>
    <mergeCell ref="AO22:AS22"/>
    <mergeCell ref="AT22:AX22"/>
    <mergeCell ref="AY22:BC22"/>
    <mergeCell ref="BD22:BH22"/>
    <mergeCell ref="A23:E23"/>
    <mergeCell ref="F23:J23"/>
    <mergeCell ref="K23:O23"/>
    <mergeCell ref="P23:T23"/>
    <mergeCell ref="U23:Y23"/>
    <mergeCell ref="Z23:AD23"/>
    <mergeCell ref="AE23:AI23"/>
    <mergeCell ref="AJ23:AN23"/>
    <mergeCell ref="AO23:AS23"/>
    <mergeCell ref="AT23:AX23"/>
    <mergeCell ref="AY23:BC23"/>
    <mergeCell ref="BD23:BH23"/>
    <mergeCell ref="A24:E24"/>
    <mergeCell ref="F24:J24"/>
    <mergeCell ref="K24:O24"/>
    <mergeCell ref="P24:T24"/>
    <mergeCell ref="U24:Y24"/>
    <mergeCell ref="Z24:AD24"/>
    <mergeCell ref="AE24:AI24"/>
    <mergeCell ref="AJ24:AN24"/>
    <mergeCell ref="AO24:AS24"/>
    <mergeCell ref="AT24:AX24"/>
    <mergeCell ref="AY24:BC24"/>
    <mergeCell ref="BD24:BH24"/>
    <mergeCell ref="A25:E25"/>
    <mergeCell ref="F25:J25"/>
    <mergeCell ref="K25:O25"/>
    <mergeCell ref="P25:T25"/>
    <mergeCell ref="U25:Y25"/>
    <mergeCell ref="Z25:AD25"/>
    <mergeCell ref="AE25:AI25"/>
    <mergeCell ref="AJ25:AN25"/>
    <mergeCell ref="AO25:AS25"/>
    <mergeCell ref="AT25:AX25"/>
    <mergeCell ref="AY25:BC25"/>
    <mergeCell ref="BD25:BH25"/>
    <mergeCell ref="A26:E26"/>
    <mergeCell ref="F26:J26"/>
    <mergeCell ref="K26:O26"/>
    <mergeCell ref="P26:T26"/>
    <mergeCell ref="U26:Y26"/>
    <mergeCell ref="Z26:AD26"/>
    <mergeCell ref="AE26:AI26"/>
    <mergeCell ref="AJ26:AN26"/>
    <mergeCell ref="AO26:AS26"/>
    <mergeCell ref="AT26:AX26"/>
    <mergeCell ref="AY26:BC26"/>
    <mergeCell ref="BD26:BH26"/>
    <mergeCell ref="A27:E27"/>
    <mergeCell ref="F27:J27"/>
    <mergeCell ref="K27:O27"/>
    <mergeCell ref="P27:T27"/>
    <mergeCell ref="U27:Y27"/>
    <mergeCell ref="Z27:AD27"/>
    <mergeCell ref="AE27:AI27"/>
    <mergeCell ref="AJ27:AN27"/>
    <mergeCell ref="AO27:AS27"/>
    <mergeCell ref="AT27:AX27"/>
    <mergeCell ref="AY27:BC27"/>
    <mergeCell ref="BD27:BH27"/>
    <mergeCell ref="A28:E28"/>
    <mergeCell ref="F28:J28"/>
    <mergeCell ref="K28:O28"/>
    <mergeCell ref="P28:T28"/>
    <mergeCell ref="U28:Y28"/>
    <mergeCell ref="Z28:AD28"/>
    <mergeCell ref="AE28:AI28"/>
    <mergeCell ref="AJ28:AN28"/>
    <mergeCell ref="AO28:AS28"/>
    <mergeCell ref="AT28:AX28"/>
    <mergeCell ref="AY28:BC28"/>
    <mergeCell ref="BD28:BH28"/>
    <mergeCell ref="A29:E29"/>
    <mergeCell ref="F29:J29"/>
    <mergeCell ref="K29:O29"/>
    <mergeCell ref="P29:T29"/>
    <mergeCell ref="U29:Y29"/>
    <mergeCell ref="Z29:AD29"/>
    <mergeCell ref="AE29:AI29"/>
    <mergeCell ref="AJ29:AN29"/>
    <mergeCell ref="AO29:AS29"/>
    <mergeCell ref="AT29:AX29"/>
    <mergeCell ref="AY29:BC29"/>
    <mergeCell ref="BD29:BH29"/>
    <mergeCell ref="A30:E30"/>
    <mergeCell ref="F30:J30"/>
    <mergeCell ref="K30:O30"/>
    <mergeCell ref="P30:T30"/>
    <mergeCell ref="U30:Y30"/>
    <mergeCell ref="Z30:AD30"/>
    <mergeCell ref="AE30:AI30"/>
    <mergeCell ref="AJ30:AN30"/>
    <mergeCell ref="AO30:AS30"/>
    <mergeCell ref="AT30:AX30"/>
    <mergeCell ref="AY30:BC30"/>
    <mergeCell ref="BD30:BH30"/>
    <mergeCell ref="A31:E31"/>
    <mergeCell ref="F31:J31"/>
    <mergeCell ref="K31:O31"/>
    <mergeCell ref="P31:T31"/>
    <mergeCell ref="U31:Y31"/>
    <mergeCell ref="Z31:AD31"/>
    <mergeCell ref="AE31:AI31"/>
    <mergeCell ref="AJ31:AN31"/>
    <mergeCell ref="AO31:AS31"/>
    <mergeCell ref="AT31:AX31"/>
    <mergeCell ref="AY31:BC31"/>
    <mergeCell ref="BD31:BH31"/>
    <mergeCell ref="A32:E32"/>
    <mergeCell ref="F32:J32"/>
    <mergeCell ref="K32:O32"/>
    <mergeCell ref="P32:T32"/>
    <mergeCell ref="U32:Y32"/>
    <mergeCell ref="Z32:AD32"/>
    <mergeCell ref="AE32:AI32"/>
    <mergeCell ref="AJ32:AN32"/>
    <mergeCell ref="AO32:AS32"/>
    <mergeCell ref="AT32:AX32"/>
    <mergeCell ref="AY32:BC32"/>
    <mergeCell ref="BD32:BH32"/>
    <mergeCell ref="A33:BH33"/>
    <mergeCell ref="A34:O34"/>
    <mergeCell ref="P34:T34"/>
    <mergeCell ref="U34:Y34"/>
    <mergeCell ref="Z34:BH34"/>
    <mergeCell ref="A35:O35"/>
    <mergeCell ref="A36:F36"/>
    <mergeCell ref="G36:O36"/>
    <mergeCell ref="AH36:AJ36"/>
    <mergeCell ref="AZ36:BB36"/>
    <mergeCell ref="A37:O37"/>
    <mergeCell ref="AD37:AL37"/>
    <mergeCell ref="AV37:BD37"/>
    <mergeCell ref="A38:F38"/>
    <mergeCell ref="G38:O38"/>
    <mergeCell ref="AH38:AJ38"/>
    <mergeCell ref="AZ38:BB38"/>
    <mergeCell ref="A39:O39"/>
    <mergeCell ref="AD39:AL39"/>
    <mergeCell ref="AV39:BD39"/>
    <mergeCell ref="A40:F40"/>
    <mergeCell ref="G40:O40"/>
    <mergeCell ref="AH40:AJ40"/>
    <mergeCell ref="AZ40:BB40"/>
    <mergeCell ref="A41:O41"/>
    <mergeCell ref="AD41:AL41"/>
    <mergeCell ref="AV41:BD41"/>
    <mergeCell ref="A42:BH42"/>
    <mergeCell ref="E49:O49"/>
    <mergeCell ref="P49:T49"/>
    <mergeCell ref="U49:Y49"/>
    <mergeCell ref="Z49:BH49"/>
    <mergeCell ref="G50:R50"/>
    <mergeCell ref="V50:X50"/>
    <mergeCell ref="Y50:AB50"/>
    <mergeCell ref="AC50:AF50"/>
    <mergeCell ref="AI50:AT50"/>
    <mergeCell ref="AX50:AZ50"/>
    <mergeCell ref="BA50:BD50"/>
    <mergeCell ref="BE50:BH50"/>
    <mergeCell ref="G51:R51"/>
    <mergeCell ref="V51:X51"/>
    <mergeCell ref="Y51:AB51"/>
    <mergeCell ref="AC51:AF51"/>
    <mergeCell ref="AI51:AT51"/>
    <mergeCell ref="AX51:AZ51"/>
    <mergeCell ref="BA51:BD51"/>
    <mergeCell ref="BE51:BH51"/>
    <mergeCell ref="E52:F52"/>
    <mergeCell ref="G52:R52"/>
    <mergeCell ref="S52:U52"/>
    <mergeCell ref="V52:X52"/>
    <mergeCell ref="Y52:AB52"/>
    <mergeCell ref="AC52:AF52"/>
    <mergeCell ref="AG52:AH52"/>
    <mergeCell ref="AI52:AT52"/>
    <mergeCell ref="AU52:AW52"/>
    <mergeCell ref="AX52:AZ52"/>
    <mergeCell ref="BA52:BD52"/>
    <mergeCell ref="BE52:BH52"/>
    <mergeCell ref="E53:F53"/>
    <mergeCell ref="G53:R53"/>
    <mergeCell ref="S53:U53"/>
    <mergeCell ref="V53:X53"/>
    <mergeCell ref="Y53:AB53"/>
    <mergeCell ref="AC53:AF53"/>
    <mergeCell ref="AG53:AH53"/>
    <mergeCell ref="AI53:AT53"/>
    <mergeCell ref="AU53:AW53"/>
    <mergeCell ref="AX53:AZ53"/>
    <mergeCell ref="BA53:BD53"/>
    <mergeCell ref="BE53:BH53"/>
    <mergeCell ref="E54:F54"/>
    <mergeCell ref="G54:R54"/>
    <mergeCell ref="S54:U54"/>
    <mergeCell ref="V54:X54"/>
    <mergeCell ref="Y54:AB54"/>
    <mergeCell ref="AC54:AF54"/>
    <mergeCell ref="AG54:AH54"/>
    <mergeCell ref="AI54:AT54"/>
    <mergeCell ref="AU54:AW54"/>
    <mergeCell ref="AX54:AZ54"/>
    <mergeCell ref="BA54:BD54"/>
    <mergeCell ref="BE54:BH54"/>
    <mergeCell ref="E55:F55"/>
    <mergeCell ref="G55:R55"/>
    <mergeCell ref="S55:U55"/>
    <mergeCell ref="V55:X55"/>
    <mergeCell ref="Y55:AB55"/>
    <mergeCell ref="AC55:AF55"/>
    <mergeCell ref="AG55:AH55"/>
    <mergeCell ref="AI55:AT55"/>
    <mergeCell ref="AU55:AW55"/>
    <mergeCell ref="AX55:AZ55"/>
    <mergeCell ref="BA55:BD55"/>
    <mergeCell ref="BE55:BH55"/>
    <mergeCell ref="E56:F56"/>
    <mergeCell ref="G56:R56"/>
    <mergeCell ref="S56:U56"/>
    <mergeCell ref="V56:X56"/>
    <mergeCell ref="Y56:AB56"/>
    <mergeCell ref="AC56:AF56"/>
    <mergeCell ref="AG56:AH56"/>
    <mergeCell ref="AI56:AT56"/>
    <mergeCell ref="AU56:AW56"/>
    <mergeCell ref="AX56:AZ56"/>
    <mergeCell ref="BA56:BD56"/>
    <mergeCell ref="BE56:BH56"/>
    <mergeCell ref="E57:F57"/>
    <mergeCell ref="G57:R57"/>
    <mergeCell ref="S57:U57"/>
    <mergeCell ref="V57:X57"/>
    <mergeCell ref="Y57:AB57"/>
    <mergeCell ref="AC57:AF57"/>
    <mergeCell ref="AG57:AH57"/>
    <mergeCell ref="AI57:AT57"/>
    <mergeCell ref="AU57:AW57"/>
    <mergeCell ref="AX57:AZ57"/>
    <mergeCell ref="BA57:BD57"/>
    <mergeCell ref="BE57:BH57"/>
    <mergeCell ref="A58:BH58"/>
    <mergeCell ref="A59:AF59"/>
    <mergeCell ref="AG59:BH59"/>
    <mergeCell ref="A60:D60"/>
    <mergeCell ref="E60:H60"/>
    <mergeCell ref="I60:L60"/>
    <mergeCell ref="M60:P60"/>
    <mergeCell ref="Q60:T60"/>
    <mergeCell ref="U60:X60"/>
    <mergeCell ref="Y60:AB60"/>
    <mergeCell ref="AC60:AF60"/>
    <mergeCell ref="AG60:AL60"/>
    <mergeCell ref="AM60:AR60"/>
    <mergeCell ref="AS60:AV60"/>
    <mergeCell ref="AW60:AZ60"/>
    <mergeCell ref="BA60:BD60"/>
    <mergeCell ref="BE60:BH60"/>
    <mergeCell ref="A61:D61"/>
    <mergeCell ref="E61:H61"/>
    <mergeCell ref="I61:L61"/>
    <mergeCell ref="M61:P61"/>
    <mergeCell ref="Q61:T61"/>
    <mergeCell ref="U61:X61"/>
    <mergeCell ref="Y61:AB61"/>
    <mergeCell ref="AC61:AF61"/>
    <mergeCell ref="AG61:AL61"/>
    <mergeCell ref="AM61:AR61"/>
    <mergeCell ref="AS61:AV61"/>
    <mergeCell ref="AW61:AZ61"/>
    <mergeCell ref="BA61:BD61"/>
    <mergeCell ref="BE61:BH61"/>
    <mergeCell ref="A62:D62"/>
    <mergeCell ref="E62:H62"/>
    <mergeCell ref="I62:L62"/>
    <mergeCell ref="M62:P62"/>
    <mergeCell ref="Q62:T62"/>
    <mergeCell ref="U62:X62"/>
    <mergeCell ref="Y62:AB62"/>
    <mergeCell ref="AC62:AF62"/>
    <mergeCell ref="AG62:AL62"/>
    <mergeCell ref="AM62:AR62"/>
    <mergeCell ref="AS62:AV62"/>
    <mergeCell ref="AW62:AZ62"/>
    <mergeCell ref="BA62:BD62"/>
    <mergeCell ref="BE62:BH62"/>
    <mergeCell ref="A63:D63"/>
    <mergeCell ref="E63:H63"/>
    <mergeCell ref="I63:L63"/>
    <mergeCell ref="M63:P63"/>
    <mergeCell ref="Q63:T63"/>
    <mergeCell ref="U63:X63"/>
    <mergeCell ref="Y63:AB63"/>
    <mergeCell ref="AC63:AF63"/>
    <mergeCell ref="AG63:AL63"/>
    <mergeCell ref="AM63:AR63"/>
    <mergeCell ref="AS63:AV63"/>
    <mergeCell ref="AW63:AZ63"/>
    <mergeCell ref="BA63:BD63"/>
    <mergeCell ref="BE63:BH63"/>
    <mergeCell ref="A64:F64"/>
    <mergeCell ref="G64:M64"/>
    <mergeCell ref="N64:P64"/>
    <mergeCell ref="Q64:V64"/>
    <mergeCell ref="W64:AC64"/>
    <mergeCell ref="AD64:AF64"/>
    <mergeCell ref="AG64:AL64"/>
    <mergeCell ref="AM64:AR64"/>
    <mergeCell ref="AS64:AV64"/>
    <mergeCell ref="AW64:AZ64"/>
    <mergeCell ref="BA64:BD64"/>
    <mergeCell ref="BE64:BH64"/>
    <mergeCell ref="A65:F65"/>
    <mergeCell ref="G65:M65"/>
    <mergeCell ref="N65:P65"/>
    <mergeCell ref="Q65:AF65"/>
    <mergeCell ref="AG65:BH65"/>
    <mergeCell ref="A66:AF66"/>
    <mergeCell ref="AG66:AS66"/>
    <mergeCell ref="AT66:BH66"/>
    <mergeCell ref="A67:F67"/>
    <mergeCell ref="G67:P67"/>
    <mergeCell ref="Q67:V67"/>
    <mergeCell ref="W67:AC67"/>
    <mergeCell ref="AD67:AF67"/>
    <mergeCell ref="AG67:AS67"/>
    <mergeCell ref="AT67:BH67"/>
    <mergeCell ref="A68:F68"/>
    <mergeCell ref="G68:M68"/>
    <mergeCell ref="N68:P68"/>
    <mergeCell ref="Q68:V68"/>
    <mergeCell ref="W68:AC68"/>
    <mergeCell ref="AD68:AF68"/>
    <mergeCell ref="AG68:AN68"/>
    <mergeCell ref="AO68:AS68"/>
    <mergeCell ref="AT68:AX68"/>
    <mergeCell ref="AY68:BC68"/>
    <mergeCell ref="BD68:BH68"/>
    <mergeCell ref="A69:F69"/>
    <mergeCell ref="G69:M69"/>
    <mergeCell ref="N69:P69"/>
    <mergeCell ref="Q69:AF69"/>
    <mergeCell ref="AG69:AN69"/>
    <mergeCell ref="AO69:AS69"/>
    <mergeCell ref="AT69:AX69"/>
    <mergeCell ref="AY69:BC69"/>
    <mergeCell ref="BD69:BH69"/>
    <mergeCell ref="A70:AF70"/>
    <mergeCell ref="AG70:AN70"/>
    <mergeCell ref="AO70:AS70"/>
    <mergeCell ref="AT70:AX70"/>
    <mergeCell ref="AY70:BC70"/>
    <mergeCell ref="BD70:BH70"/>
    <mergeCell ref="A71:D71"/>
    <mergeCell ref="E71:H71"/>
    <mergeCell ref="I71:L71"/>
    <mergeCell ref="M71:Q71"/>
    <mergeCell ref="R71:V71"/>
    <mergeCell ref="W71:AA71"/>
    <mergeCell ref="AB71:AF71"/>
    <mergeCell ref="AG71:AN71"/>
    <mergeCell ref="AO71:AS71"/>
    <mergeCell ref="AT71:AX71"/>
    <mergeCell ref="AY71:BC71"/>
    <mergeCell ref="BD71:BH71"/>
    <mergeCell ref="A72:D72"/>
    <mergeCell ref="E72:H72"/>
    <mergeCell ref="I72:L72"/>
    <mergeCell ref="M72:Q72"/>
    <mergeCell ref="R72:V72"/>
    <mergeCell ref="W72:AA72"/>
    <mergeCell ref="AB72:AF72"/>
    <mergeCell ref="AG72:AS72"/>
    <mergeCell ref="AT72:BE72"/>
    <mergeCell ref="BF72:BH72"/>
    <mergeCell ref="A73:D73"/>
    <mergeCell ref="E73:H73"/>
    <mergeCell ref="I73:L73"/>
    <mergeCell ref="M73:Q73"/>
    <mergeCell ref="R73:V73"/>
    <mergeCell ref="W73:AA73"/>
    <mergeCell ref="AB73:AF73"/>
    <mergeCell ref="AG73:AS73"/>
    <mergeCell ref="AT73:BE73"/>
    <mergeCell ref="BF73:BH73"/>
    <mergeCell ref="A74:D74"/>
    <mergeCell ref="E74:H74"/>
    <mergeCell ref="I74:L74"/>
    <mergeCell ref="M74:Q74"/>
    <mergeCell ref="R74:V74"/>
    <mergeCell ref="W74:AA74"/>
    <mergeCell ref="AB74:AF74"/>
    <mergeCell ref="AG74:BH74"/>
    <mergeCell ref="A75:BH75"/>
    <mergeCell ref="A76:G76"/>
    <mergeCell ref="H76:K76"/>
    <mergeCell ref="L76:P76"/>
    <mergeCell ref="Q76:U76"/>
    <mergeCell ref="V76:Z76"/>
    <mergeCell ref="AA76:AE76"/>
    <mergeCell ref="AF76:AJ76"/>
    <mergeCell ref="AK76:AO76"/>
    <mergeCell ref="AP76:AT76"/>
    <mergeCell ref="AU76:AY76"/>
    <mergeCell ref="AZ76:BD76"/>
    <mergeCell ref="BE76:BH76"/>
    <mergeCell ref="A77:G77"/>
    <mergeCell ref="H77:K77"/>
    <mergeCell ref="L77:P77"/>
    <mergeCell ref="Q77:U77"/>
    <mergeCell ref="V77:Z77"/>
    <mergeCell ref="AA77:AE77"/>
    <mergeCell ref="AF77:AJ77"/>
    <mergeCell ref="AK77:AO77"/>
    <mergeCell ref="AP77:AT77"/>
    <mergeCell ref="AU77:AY77"/>
    <mergeCell ref="AZ77:BD77"/>
    <mergeCell ref="BE77:BH77"/>
    <mergeCell ref="A78:BH78"/>
    <mergeCell ref="A79:G79"/>
    <mergeCell ref="H79:P79"/>
    <mergeCell ref="Q79:T79"/>
    <mergeCell ref="U79:BH79"/>
    <mergeCell ref="A80:G80"/>
    <mergeCell ref="H80:P80"/>
    <mergeCell ref="Q80:T80"/>
    <mergeCell ref="U80:X80"/>
    <mergeCell ref="Y80:AB80"/>
    <mergeCell ref="AC80:AF80"/>
    <mergeCell ref="AG80:AJ80"/>
    <mergeCell ref="AK80:AN80"/>
    <mergeCell ref="AO80:AR80"/>
    <mergeCell ref="AS80:AV80"/>
    <mergeCell ref="AW80:AZ80"/>
    <mergeCell ref="BA80:BD80"/>
    <mergeCell ref="BE80:BH80"/>
    <mergeCell ref="A81:G81"/>
    <mergeCell ref="H81:P81"/>
    <mergeCell ref="Q81:T81"/>
    <mergeCell ref="U81:X81"/>
    <mergeCell ref="Y81:AB81"/>
    <mergeCell ref="AC81:AF81"/>
    <mergeCell ref="AG81:AJ81"/>
    <mergeCell ref="AK81:AN81"/>
    <mergeCell ref="AO81:AR81"/>
    <mergeCell ref="AS81:AV81"/>
    <mergeCell ref="AW81:AZ81"/>
    <mergeCell ref="BA81:BD81"/>
    <mergeCell ref="BE81:BH81"/>
    <mergeCell ref="A82:G82"/>
    <mergeCell ref="H82:P82"/>
    <mergeCell ref="Q82:T82"/>
    <mergeCell ref="U82:X82"/>
    <mergeCell ref="Y82:AB82"/>
    <mergeCell ref="AC82:AF82"/>
    <mergeCell ref="AG82:AJ82"/>
    <mergeCell ref="AK82:AN82"/>
    <mergeCell ref="AO82:AR82"/>
    <mergeCell ref="AS82:AV82"/>
    <mergeCell ref="AW82:AZ82"/>
    <mergeCell ref="BA82:BD82"/>
    <mergeCell ref="BE82:BH82"/>
    <mergeCell ref="A83:G83"/>
    <mergeCell ref="H83:P83"/>
    <mergeCell ref="Q83:T83"/>
    <mergeCell ref="U83:X83"/>
    <mergeCell ref="Y83:AB83"/>
    <mergeCell ref="AC83:AF83"/>
    <mergeCell ref="AG83:AJ83"/>
    <mergeCell ref="AK83:AN83"/>
    <mergeCell ref="AO83:AR83"/>
    <mergeCell ref="AS83:AV83"/>
    <mergeCell ref="AW83:AZ83"/>
    <mergeCell ref="BA83:BD83"/>
    <mergeCell ref="BE83:BH83"/>
    <mergeCell ref="A84:G84"/>
    <mergeCell ref="H84:T84"/>
    <mergeCell ref="U84:BH84"/>
    <mergeCell ref="A85:G85"/>
    <mergeCell ref="H85:P85"/>
    <mergeCell ref="Q85:T85"/>
    <mergeCell ref="U85:X85"/>
    <mergeCell ref="Y85:AB85"/>
    <mergeCell ref="AC85:AF85"/>
    <mergeCell ref="AG85:AJ85"/>
    <mergeCell ref="AK85:AN85"/>
    <mergeCell ref="AO85:AR85"/>
    <mergeCell ref="AS85:AV85"/>
    <mergeCell ref="AW85:AZ85"/>
    <mergeCell ref="BA85:BD85"/>
    <mergeCell ref="BE85:BH85"/>
    <mergeCell ref="A86:G86"/>
    <mergeCell ref="H86:P86"/>
    <mergeCell ref="Q86:T86"/>
    <mergeCell ref="U86:X86"/>
    <mergeCell ref="Y86:AB86"/>
    <mergeCell ref="AC86:AF86"/>
    <mergeCell ref="AG86:AJ86"/>
    <mergeCell ref="AK86:AN86"/>
    <mergeCell ref="AO86:AR86"/>
    <mergeCell ref="AS86:AV86"/>
    <mergeCell ref="AW86:AZ86"/>
    <mergeCell ref="BA86:BD86"/>
    <mergeCell ref="BE86:BH86"/>
    <mergeCell ref="A87:G87"/>
    <mergeCell ref="H87:I87"/>
    <mergeCell ref="J87:L87"/>
    <mergeCell ref="M87:N87"/>
    <mergeCell ref="O87:Q87"/>
    <mergeCell ref="R87:T87"/>
    <mergeCell ref="U87:X87"/>
    <mergeCell ref="Y87:AB87"/>
    <mergeCell ref="AC87:AF87"/>
    <mergeCell ref="AG87:AJ87"/>
    <mergeCell ref="AK87:AN87"/>
    <mergeCell ref="AO87:AR87"/>
    <mergeCell ref="AS87:AV87"/>
    <mergeCell ref="AW87:AZ87"/>
    <mergeCell ref="BA87:BD87"/>
    <mergeCell ref="BE87:BH87"/>
    <mergeCell ref="A88:G88"/>
    <mergeCell ref="H88:P88"/>
    <mergeCell ref="Q88:T88"/>
    <mergeCell ref="U88:X88"/>
    <mergeCell ref="Y88:AB88"/>
    <mergeCell ref="AC88:AF88"/>
    <mergeCell ref="AG88:AJ88"/>
    <mergeCell ref="AK88:AN88"/>
    <mergeCell ref="AO88:AR88"/>
    <mergeCell ref="AS88:AV88"/>
    <mergeCell ref="AW88:AZ88"/>
    <mergeCell ref="BA88:BD88"/>
    <mergeCell ref="BE88:BH88"/>
    <mergeCell ref="A89:G89"/>
    <mergeCell ref="H89:P89"/>
    <mergeCell ref="Q89:T89"/>
    <mergeCell ref="U89:BH89"/>
    <mergeCell ref="A90:BH90"/>
    <mergeCell ref="A91:G91"/>
    <mergeCell ref="H91:P91"/>
    <mergeCell ref="Q91:T91"/>
    <mergeCell ref="U91:BH91"/>
    <mergeCell ref="A92:G92"/>
    <mergeCell ref="H92:I92"/>
    <mergeCell ref="J92:L92"/>
    <mergeCell ref="M92:N92"/>
    <mergeCell ref="O92:Q92"/>
    <mergeCell ref="R92:T92"/>
    <mergeCell ref="U92:X92"/>
    <mergeCell ref="Y92:AB92"/>
    <mergeCell ref="AC92:AF92"/>
    <mergeCell ref="AG92:AJ92"/>
    <mergeCell ref="AK92:AN92"/>
    <mergeCell ref="AO92:AR92"/>
    <mergeCell ref="AS92:AV92"/>
    <mergeCell ref="AW92:AZ92"/>
    <mergeCell ref="BA92:BD92"/>
    <mergeCell ref="BE92:BH92"/>
    <mergeCell ref="A93:G93"/>
    <mergeCell ref="H93:I93"/>
    <mergeCell ref="J93:L93"/>
    <mergeCell ref="M93:N93"/>
    <mergeCell ref="O93:Q93"/>
    <mergeCell ref="R93:T93"/>
    <mergeCell ref="U93:X93"/>
    <mergeCell ref="Y93:AB93"/>
    <mergeCell ref="AC93:AF93"/>
    <mergeCell ref="AG93:AJ93"/>
    <mergeCell ref="AK93:AN93"/>
    <mergeCell ref="AO93:AR93"/>
    <mergeCell ref="AS93:AV93"/>
    <mergeCell ref="AW93:AZ93"/>
    <mergeCell ref="BA93:BD93"/>
    <mergeCell ref="BE93:BH93"/>
    <mergeCell ref="A94:G94"/>
    <mergeCell ref="H94:T94"/>
    <mergeCell ref="U94:X94"/>
    <mergeCell ref="Y94:AB94"/>
    <mergeCell ref="AC94:AF94"/>
    <mergeCell ref="AG94:AJ94"/>
    <mergeCell ref="AK94:AN94"/>
    <mergeCell ref="AO94:AR94"/>
    <mergeCell ref="AS94:AV94"/>
    <mergeCell ref="AW94:AZ94"/>
    <mergeCell ref="BA94:BD94"/>
    <mergeCell ref="BE94:BH94"/>
    <mergeCell ref="A95:G95"/>
    <mergeCell ref="H95:P95"/>
    <mergeCell ref="Q95:T95"/>
    <mergeCell ref="U95:X95"/>
    <mergeCell ref="Y95:AB95"/>
    <mergeCell ref="AC95:AF95"/>
    <mergeCell ref="AG95:AJ95"/>
    <mergeCell ref="AK95:AN95"/>
    <mergeCell ref="AO95:AR95"/>
    <mergeCell ref="AS95:AV95"/>
    <mergeCell ref="AW95:AZ95"/>
    <mergeCell ref="BA95:BD95"/>
    <mergeCell ref="BE95:BH95"/>
    <mergeCell ref="A96:G96"/>
    <mergeCell ref="H96:P96"/>
    <mergeCell ref="Q96:T96"/>
    <mergeCell ref="U96:BH96"/>
    <mergeCell ref="A97:G97"/>
    <mergeCell ref="H97:P97"/>
    <mergeCell ref="Q97:T97"/>
    <mergeCell ref="U97:X97"/>
    <mergeCell ref="Y97:AB97"/>
    <mergeCell ref="AC97:AF97"/>
    <mergeCell ref="AG97:AJ97"/>
    <mergeCell ref="AK97:AN97"/>
    <mergeCell ref="AO97:AR97"/>
    <mergeCell ref="AS97:AV97"/>
    <mergeCell ref="AW97:AZ97"/>
    <mergeCell ref="BA97:BD97"/>
    <mergeCell ref="BE97:BH97"/>
    <mergeCell ref="A98:G98"/>
    <mergeCell ref="H98:P98"/>
    <mergeCell ref="Q98:T98"/>
    <mergeCell ref="U98:X98"/>
    <mergeCell ref="Y98:AB98"/>
    <mergeCell ref="AC98:AF98"/>
    <mergeCell ref="AG98:AJ98"/>
    <mergeCell ref="AK98:AN98"/>
    <mergeCell ref="AO98:AR98"/>
    <mergeCell ref="AS98:AV98"/>
    <mergeCell ref="AW98:AZ98"/>
    <mergeCell ref="BA98:BD98"/>
    <mergeCell ref="BE98:BH98"/>
    <mergeCell ref="A99:G99"/>
    <mergeCell ref="H99:T99"/>
    <mergeCell ref="U99:X99"/>
    <mergeCell ref="Y99:AB99"/>
    <mergeCell ref="AC99:AF99"/>
    <mergeCell ref="AG99:AJ99"/>
    <mergeCell ref="AK99:AN99"/>
    <mergeCell ref="AO99:AR99"/>
    <mergeCell ref="AS99:AV99"/>
    <mergeCell ref="AW99:AZ99"/>
    <mergeCell ref="BA99:BD99"/>
    <mergeCell ref="BE99:BH99"/>
    <mergeCell ref="A100:G100"/>
    <mergeCell ref="H100:P100"/>
    <mergeCell ref="Q100:T100"/>
    <mergeCell ref="U100:X100"/>
    <mergeCell ref="Y100:AB100"/>
    <mergeCell ref="AC100:AF100"/>
    <mergeCell ref="AG100:AJ100"/>
    <mergeCell ref="AK100:AN100"/>
    <mergeCell ref="AO100:AR100"/>
    <mergeCell ref="AS100:AV100"/>
    <mergeCell ref="AW100:AZ100"/>
    <mergeCell ref="BA100:BD100"/>
    <mergeCell ref="BE100:BH100"/>
    <mergeCell ref="A101:BH101"/>
    <mergeCell ref="A102:G102"/>
    <mergeCell ref="H102:T102"/>
    <mergeCell ref="U102:BH102"/>
    <mergeCell ref="A103:D103"/>
    <mergeCell ref="E103:L103"/>
    <mergeCell ref="M103:T103"/>
    <mergeCell ref="U103:AB103"/>
    <mergeCell ref="AC103:AH103"/>
    <mergeCell ref="AI103:AJ103"/>
    <mergeCell ref="AK103:AP103"/>
    <mergeCell ref="AQ103:AR103"/>
    <mergeCell ref="AS103:AX103"/>
    <mergeCell ref="AY103:AZ103"/>
    <mergeCell ref="BA103:BF103"/>
    <mergeCell ref="BG103:BH103"/>
    <mergeCell ref="A104:D104"/>
    <mergeCell ref="E104:L104"/>
    <mergeCell ref="M104:T104"/>
    <mergeCell ref="U104:AB104"/>
    <mergeCell ref="AC104:AJ104"/>
    <mergeCell ref="AK104:AR104"/>
    <mergeCell ref="AS104:AZ104"/>
    <mergeCell ref="BA104:BH104"/>
    <mergeCell ref="A105:D105"/>
    <mergeCell ref="E105:L105"/>
    <mergeCell ref="M105:T105"/>
    <mergeCell ref="U105:AB105"/>
    <mergeCell ref="AC105:AJ105"/>
    <mergeCell ref="AK105:AR105"/>
    <mergeCell ref="AS105:AZ105"/>
    <mergeCell ref="BA105:BH105"/>
    <mergeCell ref="A106:BH106"/>
    <mergeCell ref="A107:H107"/>
    <mergeCell ref="I107:P107"/>
    <mergeCell ref="Q107:T107"/>
    <mergeCell ref="U107:AB107"/>
    <mergeCell ref="AC107:AJ107"/>
    <mergeCell ref="AK107:AN107"/>
    <mergeCell ref="AO107:AV107"/>
    <mergeCell ref="AW107:BD107"/>
    <mergeCell ref="BE107:BH107"/>
    <mergeCell ref="A108:H108"/>
    <mergeCell ref="I108:P108"/>
    <mergeCell ref="Q108:T108"/>
    <mergeCell ref="U108:AB108"/>
    <mergeCell ref="AC108:AJ108"/>
    <mergeCell ref="AK108:AN108"/>
    <mergeCell ref="AO108:BH108"/>
    <mergeCell ref="A109:BH109"/>
    <mergeCell ref="A110:H110"/>
    <mergeCell ref="I110:P110"/>
    <mergeCell ref="Q110:T110"/>
    <mergeCell ref="U110:AB110"/>
    <mergeCell ref="AC110:AJ110"/>
    <mergeCell ref="AK110:AN110"/>
    <mergeCell ref="AO110:AV110"/>
    <mergeCell ref="AW110:BD110"/>
    <mergeCell ref="BE110:BH110"/>
    <mergeCell ref="A111:H111"/>
    <mergeCell ref="I111:P111"/>
    <mergeCell ref="Q111:T111"/>
    <mergeCell ref="U111:AB111"/>
    <mergeCell ref="AC111:AJ111"/>
    <mergeCell ref="AK111:AN111"/>
    <mergeCell ref="AO111:BH111"/>
    <mergeCell ref="A112:BH112"/>
    <mergeCell ref="A113:H113"/>
    <mergeCell ref="I113:P113"/>
    <mergeCell ref="Q113:T113"/>
    <mergeCell ref="U113:AB113"/>
    <mergeCell ref="AC113:AJ113"/>
    <mergeCell ref="AK113:AN113"/>
    <mergeCell ref="AO113:AV113"/>
    <mergeCell ref="AW113:BD113"/>
    <mergeCell ref="BE113:BH113"/>
    <mergeCell ref="A114:H114"/>
    <mergeCell ref="I114:P114"/>
    <mergeCell ref="Q114:T114"/>
    <mergeCell ref="U114:AB114"/>
    <mergeCell ref="AC114:AJ114"/>
    <mergeCell ref="AK114:AN114"/>
    <mergeCell ref="AO114:AV114"/>
    <mergeCell ref="AW114:BD114"/>
    <mergeCell ref="BE114:BH114"/>
    <mergeCell ref="A115:BH115"/>
    <mergeCell ref="A116:H116"/>
    <mergeCell ref="I116:P116"/>
    <mergeCell ref="Q116:T116"/>
    <mergeCell ref="U116:AB116"/>
    <mergeCell ref="AC116:AJ116"/>
    <mergeCell ref="AK116:AN116"/>
    <mergeCell ref="AO116:AV116"/>
    <mergeCell ref="AW116:BD116"/>
    <mergeCell ref="BE116:BH116"/>
    <mergeCell ref="A117:BH117"/>
    <mergeCell ref="A118:H118"/>
    <mergeCell ref="I118:P118"/>
    <mergeCell ref="Q118:T118"/>
    <mergeCell ref="U118:AB118"/>
    <mergeCell ref="AC118:AJ118"/>
    <mergeCell ref="AK118:AN118"/>
    <mergeCell ref="AO118:AV118"/>
    <mergeCell ref="AW118:BD118"/>
    <mergeCell ref="BE118:BH118"/>
    <mergeCell ref="A119:H119"/>
    <mergeCell ref="I119:T119"/>
    <mergeCell ref="U119:AB119"/>
    <mergeCell ref="AC119:AJ119"/>
    <mergeCell ref="AK119:AN119"/>
    <mergeCell ref="AO119:AV119"/>
    <mergeCell ref="AW119:BD119"/>
    <mergeCell ref="BE119:BH119"/>
    <mergeCell ref="A120:H120"/>
    <mergeCell ref="I120:T120"/>
    <mergeCell ref="U120:AB120"/>
    <mergeCell ref="AC120:AJ120"/>
    <mergeCell ref="AK120:AN120"/>
    <mergeCell ref="AO120:AV120"/>
    <mergeCell ref="AW120:BH120"/>
    <mergeCell ref="I121:T121"/>
    <mergeCell ref="U121:AF121"/>
    <mergeCell ref="AK121:AV121"/>
    <mergeCell ref="AW121:BH121"/>
    <mergeCell ref="I122:N122"/>
    <mergeCell ref="O122:T122"/>
    <mergeCell ref="U122:Z122"/>
    <mergeCell ref="AA122:AF122"/>
    <mergeCell ref="AK122:AP122"/>
    <mergeCell ref="AQ122:AV122"/>
    <mergeCell ref="AW122:BB122"/>
    <mergeCell ref="BC122:BH122"/>
    <mergeCell ref="I123:N123"/>
    <mergeCell ref="O123:T123"/>
    <mergeCell ref="U123:Z123"/>
    <mergeCell ref="AA123:AF123"/>
    <mergeCell ref="AK123:AP123"/>
    <mergeCell ref="AQ123:AV123"/>
    <mergeCell ref="AW123:BB123"/>
    <mergeCell ref="BC123:BH123"/>
    <mergeCell ref="E124:H124"/>
    <mergeCell ref="I124:N124"/>
    <mergeCell ref="O124:T124"/>
    <mergeCell ref="U124:Z124"/>
    <mergeCell ref="AA124:AF124"/>
    <mergeCell ref="AG124:AJ124"/>
    <mergeCell ref="AK124:AP124"/>
    <mergeCell ref="AQ124:AV124"/>
    <mergeCell ref="AW124:BB124"/>
    <mergeCell ref="BC124:BH124"/>
    <mergeCell ref="E125:H125"/>
    <mergeCell ref="I125:N125"/>
    <mergeCell ref="O125:T125"/>
    <mergeCell ref="U125:Z125"/>
    <mergeCell ref="AA125:AF125"/>
    <mergeCell ref="AG125:AJ125"/>
    <mergeCell ref="AK125:AP125"/>
    <mergeCell ref="AQ125:AV125"/>
    <mergeCell ref="AW125:BB125"/>
    <mergeCell ref="BC125:BH125"/>
    <mergeCell ref="E126:H126"/>
    <mergeCell ref="I126:N126"/>
    <mergeCell ref="O126:T126"/>
    <mergeCell ref="U126:Z126"/>
    <mergeCell ref="AA126:AF126"/>
    <mergeCell ref="AG126:AJ126"/>
    <mergeCell ref="AK126:AP126"/>
    <mergeCell ref="AQ126:AV126"/>
    <mergeCell ref="AW126:BB126"/>
    <mergeCell ref="BC126:BH126"/>
    <mergeCell ref="E127:H127"/>
    <mergeCell ref="I127:N127"/>
    <mergeCell ref="O127:T127"/>
    <mergeCell ref="U127:Z127"/>
    <mergeCell ref="AA127:AF127"/>
    <mergeCell ref="AG127:AJ127"/>
    <mergeCell ref="AK127:AP127"/>
    <mergeCell ref="AQ127:AV127"/>
    <mergeCell ref="AW127:BB127"/>
    <mergeCell ref="BC127:BH127"/>
    <mergeCell ref="E128:H128"/>
    <mergeCell ref="I128:N128"/>
    <mergeCell ref="O128:T128"/>
    <mergeCell ref="U128:Z128"/>
    <mergeCell ref="AA128:AF128"/>
    <mergeCell ref="AG128:AJ128"/>
    <mergeCell ref="AK128:AP128"/>
    <mergeCell ref="AQ128:AV128"/>
    <mergeCell ref="AW128:BB128"/>
    <mergeCell ref="BC128:BH128"/>
    <mergeCell ref="E129:H129"/>
    <mergeCell ref="I129:N129"/>
    <mergeCell ref="O129:T129"/>
    <mergeCell ref="U129:Z129"/>
    <mergeCell ref="AA129:AF129"/>
    <mergeCell ref="AG129:AJ129"/>
    <mergeCell ref="AK129:AP129"/>
    <mergeCell ref="AQ129:AV129"/>
    <mergeCell ref="AW129:BB129"/>
    <mergeCell ref="BC129:BH129"/>
    <mergeCell ref="E130:H130"/>
    <mergeCell ref="I130:N130"/>
    <mergeCell ref="O130:T130"/>
    <mergeCell ref="U130:Z130"/>
    <mergeCell ref="AA130:AF130"/>
    <mergeCell ref="AG130:AJ130"/>
    <mergeCell ref="AK130:AP130"/>
    <mergeCell ref="AQ130:AV130"/>
    <mergeCell ref="AW130:BB130"/>
    <mergeCell ref="BC130:BH130"/>
    <mergeCell ref="E131:H131"/>
    <mergeCell ref="I131:N131"/>
    <mergeCell ref="O131:T131"/>
    <mergeCell ref="U131:Z131"/>
    <mergeCell ref="AA131:AF131"/>
    <mergeCell ref="AG131:AJ131"/>
    <mergeCell ref="AK131:AP131"/>
    <mergeCell ref="AQ131:AV131"/>
    <mergeCell ref="AW131:BB131"/>
    <mergeCell ref="BC131:BH131"/>
    <mergeCell ref="E132:H132"/>
    <mergeCell ref="I132:N132"/>
    <mergeCell ref="O132:T132"/>
    <mergeCell ref="U132:Z132"/>
    <mergeCell ref="AA132:AF132"/>
    <mergeCell ref="AG132:AJ132"/>
    <mergeCell ref="AK132:AP132"/>
    <mergeCell ref="AQ132:AV132"/>
    <mergeCell ref="AW132:BB132"/>
    <mergeCell ref="BC132:BH132"/>
    <mergeCell ref="E133:H133"/>
    <mergeCell ref="I133:N133"/>
    <mergeCell ref="O133:T133"/>
    <mergeCell ref="U133:Z133"/>
    <mergeCell ref="AA133:AF133"/>
    <mergeCell ref="AG133:AJ133"/>
    <mergeCell ref="AK133:AP133"/>
    <mergeCell ref="AQ133:AV133"/>
    <mergeCell ref="AW133:BB133"/>
    <mergeCell ref="BC133:BH133"/>
    <mergeCell ref="E134:H134"/>
    <mergeCell ref="I134:N134"/>
    <mergeCell ref="O134:T134"/>
    <mergeCell ref="U134:Z134"/>
    <mergeCell ref="AA134:AF134"/>
    <mergeCell ref="AG134:AJ134"/>
    <mergeCell ref="AK134:AP134"/>
    <mergeCell ref="AQ134:AV134"/>
    <mergeCell ref="AW134:BB134"/>
    <mergeCell ref="BC134:BH134"/>
    <mergeCell ref="E135:H135"/>
    <mergeCell ref="I135:N135"/>
    <mergeCell ref="O135:T135"/>
    <mergeCell ref="U135:Z135"/>
    <mergeCell ref="AA135:AF135"/>
    <mergeCell ref="AG135:AJ135"/>
    <mergeCell ref="AK135:AP135"/>
    <mergeCell ref="AQ135:AV135"/>
    <mergeCell ref="AW135:BB135"/>
    <mergeCell ref="BC135:BH135"/>
    <mergeCell ref="E136:H136"/>
    <mergeCell ref="I136:N136"/>
    <mergeCell ref="O136:T136"/>
    <mergeCell ref="U136:Z136"/>
    <mergeCell ref="AA136:AF136"/>
    <mergeCell ref="AG136:AJ136"/>
    <mergeCell ref="AK136:AP136"/>
    <mergeCell ref="AQ136:AV136"/>
    <mergeCell ref="AW136:BB136"/>
    <mergeCell ref="BC136:BH136"/>
    <mergeCell ref="E137:H137"/>
    <mergeCell ref="I137:N137"/>
    <mergeCell ref="O137:T137"/>
    <mergeCell ref="U137:Z137"/>
    <mergeCell ref="AA137:AF137"/>
    <mergeCell ref="AG137:AJ137"/>
    <mergeCell ref="AK137:AP137"/>
    <mergeCell ref="AQ137:AV137"/>
    <mergeCell ref="AW137:BB137"/>
    <mergeCell ref="BC137:BH137"/>
    <mergeCell ref="E138:H138"/>
    <mergeCell ref="I138:N138"/>
    <mergeCell ref="O138:T138"/>
    <mergeCell ref="U138:Z138"/>
    <mergeCell ref="AA138:AF138"/>
    <mergeCell ref="AG138:AJ138"/>
    <mergeCell ref="AK138:AP138"/>
    <mergeCell ref="AQ138:AV138"/>
    <mergeCell ref="AW138:BB138"/>
    <mergeCell ref="BC138:BH138"/>
    <mergeCell ref="E139:H139"/>
    <mergeCell ref="I139:N139"/>
    <mergeCell ref="O139:T139"/>
    <mergeCell ref="U139:Z139"/>
    <mergeCell ref="AA139:AF139"/>
    <mergeCell ref="AG139:AJ139"/>
    <mergeCell ref="AK139:AP139"/>
    <mergeCell ref="AQ139:AV139"/>
    <mergeCell ref="AW139:BB139"/>
    <mergeCell ref="BC139:BH139"/>
    <mergeCell ref="E140:H140"/>
    <mergeCell ref="I140:N140"/>
    <mergeCell ref="O140:T140"/>
    <mergeCell ref="U140:Z140"/>
    <mergeCell ref="AA140:AF140"/>
    <mergeCell ref="AG140:AJ140"/>
    <mergeCell ref="AK140:AP140"/>
    <mergeCell ref="AQ140:AV140"/>
    <mergeCell ref="AW140:BB140"/>
    <mergeCell ref="BC140:BH140"/>
    <mergeCell ref="E141:H141"/>
    <mergeCell ref="I141:N141"/>
    <mergeCell ref="O141:T141"/>
    <mergeCell ref="U141:Z141"/>
    <mergeCell ref="AA141:AF141"/>
    <mergeCell ref="AG141:AJ141"/>
    <mergeCell ref="AK141:AP141"/>
    <mergeCell ref="AQ141:AV141"/>
    <mergeCell ref="AW141:BB141"/>
    <mergeCell ref="BC141:BH141"/>
    <mergeCell ref="E142:H142"/>
    <mergeCell ref="I142:N142"/>
    <mergeCell ref="O142:T142"/>
    <mergeCell ref="U142:Z142"/>
    <mergeCell ref="AA142:AF142"/>
    <mergeCell ref="AG142:AJ142"/>
    <mergeCell ref="AK142:AP142"/>
    <mergeCell ref="AQ142:AV142"/>
    <mergeCell ref="AW142:BB142"/>
    <mergeCell ref="BC142:BH142"/>
    <mergeCell ref="E143:H143"/>
    <mergeCell ref="I143:N143"/>
    <mergeCell ref="O143:T143"/>
    <mergeCell ref="U143:Z143"/>
    <mergeCell ref="AA143:AF143"/>
    <mergeCell ref="AG143:AJ143"/>
    <mergeCell ref="AK143:AP143"/>
    <mergeCell ref="AQ143:AV143"/>
    <mergeCell ref="AW143:BB143"/>
    <mergeCell ref="BC143:BH143"/>
    <mergeCell ref="I144:Z144"/>
    <mergeCell ref="AA144:AJ144"/>
    <mergeCell ref="AK144:BH144"/>
    <mergeCell ref="I145:N145"/>
    <mergeCell ref="O145:T145"/>
    <mergeCell ref="U145:Z145"/>
    <mergeCell ref="AA145:AF145"/>
    <mergeCell ref="AG145:AH145"/>
    <mergeCell ref="AI145:AJ145"/>
    <mergeCell ref="AK145:AP145"/>
    <mergeCell ref="AQ145:AV145"/>
    <mergeCell ref="AW145:BB145"/>
    <mergeCell ref="BC145:BH145"/>
    <mergeCell ref="I146:N146"/>
    <mergeCell ref="O146:T146"/>
    <mergeCell ref="U146:Z146"/>
    <mergeCell ref="AA146:AF146"/>
    <mergeCell ref="AG146:AH146"/>
    <mergeCell ref="AI146:AJ146"/>
    <mergeCell ref="AK146:AP146"/>
    <mergeCell ref="AQ146:AV146"/>
    <mergeCell ref="AW146:BB146"/>
    <mergeCell ref="BC146:BH146"/>
    <mergeCell ref="E147:H147"/>
    <mergeCell ref="I147:N147"/>
    <mergeCell ref="O147:T147"/>
    <mergeCell ref="U147:Z147"/>
    <mergeCell ref="AA147:AF147"/>
    <mergeCell ref="AG147:AH147"/>
    <mergeCell ref="AI147:AJ147"/>
    <mergeCell ref="AK147:AP147"/>
    <mergeCell ref="AQ147:AV147"/>
    <mergeCell ref="AW147:BB147"/>
    <mergeCell ref="BC147:BH147"/>
    <mergeCell ref="E148:H148"/>
    <mergeCell ref="I148:N148"/>
    <mergeCell ref="O148:T148"/>
    <mergeCell ref="U148:Z148"/>
    <mergeCell ref="AA148:AF148"/>
    <mergeCell ref="AG148:AH148"/>
    <mergeCell ref="AI148:AJ148"/>
    <mergeCell ref="AK148:AP148"/>
    <mergeCell ref="AQ148:AV148"/>
    <mergeCell ref="AW148:BB148"/>
    <mergeCell ref="BC148:BH148"/>
    <mergeCell ref="E149:H149"/>
    <mergeCell ref="I149:N149"/>
    <mergeCell ref="O149:T149"/>
    <mergeCell ref="U149:Z149"/>
    <mergeCell ref="AA149:AF149"/>
    <mergeCell ref="AG149:AH149"/>
    <mergeCell ref="AI149:AJ149"/>
    <mergeCell ref="AK149:AP149"/>
    <mergeCell ref="AQ149:AV149"/>
    <mergeCell ref="AW149:BB149"/>
    <mergeCell ref="BC149:BH149"/>
    <mergeCell ref="E150:H150"/>
    <mergeCell ref="I150:N150"/>
    <mergeCell ref="O150:T150"/>
    <mergeCell ref="U150:Z150"/>
    <mergeCell ref="AA150:AF150"/>
    <mergeCell ref="AG150:AH150"/>
    <mergeCell ref="AI150:AJ150"/>
    <mergeCell ref="AK150:AP150"/>
    <mergeCell ref="AQ150:AV150"/>
    <mergeCell ref="AW150:BB150"/>
    <mergeCell ref="BC150:BH150"/>
    <mergeCell ref="E151:H151"/>
    <mergeCell ref="I151:N151"/>
    <mergeCell ref="O151:T151"/>
    <mergeCell ref="U151:Z151"/>
    <mergeCell ref="AA151:AF151"/>
    <mergeCell ref="AG151:AH151"/>
    <mergeCell ref="AI151:AJ151"/>
    <mergeCell ref="AK151:AP151"/>
    <mergeCell ref="AQ151:AV151"/>
    <mergeCell ref="AW151:BB151"/>
    <mergeCell ref="BC151:BH151"/>
    <mergeCell ref="E152:H152"/>
    <mergeCell ref="I152:N152"/>
    <mergeCell ref="O152:T152"/>
    <mergeCell ref="U152:Z152"/>
    <mergeCell ref="AA152:AF152"/>
    <mergeCell ref="AG152:AH152"/>
    <mergeCell ref="AI152:AJ152"/>
    <mergeCell ref="AK152:AP152"/>
    <mergeCell ref="AQ152:AV152"/>
    <mergeCell ref="AW152:BB152"/>
    <mergeCell ref="BC152:BH152"/>
    <mergeCell ref="E153:H153"/>
    <mergeCell ref="I153:N153"/>
    <mergeCell ref="O153:T153"/>
    <mergeCell ref="U153:Z153"/>
    <mergeCell ref="AA153:AF153"/>
    <mergeCell ref="AG153:AH153"/>
    <mergeCell ref="AI153:AJ153"/>
    <mergeCell ref="AK153:AP153"/>
    <mergeCell ref="AQ153:AV153"/>
    <mergeCell ref="AW153:BB153"/>
    <mergeCell ref="BC153:BH153"/>
    <mergeCell ref="E154:H154"/>
    <mergeCell ref="I154:N154"/>
    <mergeCell ref="O154:T154"/>
    <mergeCell ref="U154:Z154"/>
    <mergeCell ref="AA154:AF154"/>
    <mergeCell ref="AG154:AH154"/>
    <mergeCell ref="AI154:AJ154"/>
    <mergeCell ref="AK154:AP154"/>
    <mergeCell ref="AQ154:AV154"/>
    <mergeCell ref="AW154:BB154"/>
    <mergeCell ref="BC154:BH154"/>
    <mergeCell ref="E155:H155"/>
    <mergeCell ref="I155:N155"/>
    <mergeCell ref="O155:T155"/>
    <mergeCell ref="U155:Z155"/>
    <mergeCell ref="AA155:AF155"/>
    <mergeCell ref="AG155:AH155"/>
    <mergeCell ref="AI155:AJ155"/>
    <mergeCell ref="AK155:AP155"/>
    <mergeCell ref="AQ155:AV155"/>
    <mergeCell ref="AW155:BB155"/>
    <mergeCell ref="BC155:BH155"/>
    <mergeCell ref="E156:H156"/>
    <mergeCell ref="I156:N156"/>
    <mergeCell ref="O156:T156"/>
    <mergeCell ref="U156:Z156"/>
    <mergeCell ref="AA156:AF156"/>
    <mergeCell ref="AG156:AH156"/>
    <mergeCell ref="AI156:AJ156"/>
    <mergeCell ref="AK156:AP156"/>
    <mergeCell ref="AQ156:AV156"/>
    <mergeCell ref="AW156:BB156"/>
    <mergeCell ref="BC156:BH156"/>
    <mergeCell ref="E157:H157"/>
    <mergeCell ref="I157:N157"/>
    <mergeCell ref="O157:T157"/>
    <mergeCell ref="U157:Z157"/>
    <mergeCell ref="AA157:AF157"/>
    <mergeCell ref="AG157:AH157"/>
    <mergeCell ref="AI157:AJ157"/>
    <mergeCell ref="AK157:AP157"/>
    <mergeCell ref="AQ157:AV157"/>
    <mergeCell ref="AW157:BB157"/>
    <mergeCell ref="BC157:BH157"/>
    <mergeCell ref="E158:H158"/>
    <mergeCell ref="I158:N158"/>
    <mergeCell ref="O158:T158"/>
    <mergeCell ref="U158:Z158"/>
    <mergeCell ref="AA158:AF158"/>
    <mergeCell ref="AG158:AH158"/>
    <mergeCell ref="AI158:AJ158"/>
    <mergeCell ref="AK158:AP158"/>
    <mergeCell ref="AQ158:AV158"/>
    <mergeCell ref="AW158:BB158"/>
    <mergeCell ref="BC158:BH158"/>
    <mergeCell ref="I159:Z159"/>
    <mergeCell ref="AA159:AJ159"/>
    <mergeCell ref="AK159:BH159"/>
    <mergeCell ref="I160:N160"/>
    <mergeCell ref="O160:T160"/>
    <mergeCell ref="U160:Z160"/>
    <mergeCell ref="AA160:AF160"/>
    <mergeCell ref="AG160:AH160"/>
    <mergeCell ref="AI160:AJ160"/>
    <mergeCell ref="AK160:AP160"/>
    <mergeCell ref="AQ160:AV160"/>
    <mergeCell ref="AW160:BB160"/>
    <mergeCell ref="BC160:BH160"/>
    <mergeCell ref="I161:N161"/>
    <mergeCell ref="O161:T161"/>
    <mergeCell ref="U161:Z161"/>
    <mergeCell ref="AA161:AF161"/>
    <mergeCell ref="AG161:AH161"/>
    <mergeCell ref="AI161:AJ161"/>
    <mergeCell ref="AK161:AP161"/>
    <mergeCell ref="AQ161:AV161"/>
    <mergeCell ref="AW161:BB161"/>
    <mergeCell ref="BC161:BH161"/>
    <mergeCell ref="E162:H162"/>
    <mergeCell ref="I162:N162"/>
    <mergeCell ref="O162:T162"/>
    <mergeCell ref="U162:Z162"/>
    <mergeCell ref="AA162:AF162"/>
    <mergeCell ref="AG162:AH162"/>
    <mergeCell ref="AI162:AJ162"/>
    <mergeCell ref="AK162:AP162"/>
    <mergeCell ref="AQ162:AV162"/>
    <mergeCell ref="AW162:BB162"/>
    <mergeCell ref="BC162:BH162"/>
    <mergeCell ref="E163:H163"/>
    <mergeCell ref="I163:N163"/>
    <mergeCell ref="O163:T163"/>
    <mergeCell ref="U163:Z163"/>
    <mergeCell ref="AA163:AF163"/>
    <mergeCell ref="AG163:AH163"/>
    <mergeCell ref="AI163:AJ163"/>
    <mergeCell ref="AK163:AP163"/>
    <mergeCell ref="AQ163:AV163"/>
    <mergeCell ref="AW163:BB163"/>
    <mergeCell ref="BC163:BH163"/>
    <mergeCell ref="E164:H164"/>
    <mergeCell ref="I164:N164"/>
    <mergeCell ref="O164:T164"/>
    <mergeCell ref="U164:Z164"/>
    <mergeCell ref="AA164:AF164"/>
    <mergeCell ref="AG164:AH164"/>
    <mergeCell ref="AI164:AJ164"/>
    <mergeCell ref="AK164:AP164"/>
    <mergeCell ref="AQ164:AV164"/>
    <mergeCell ref="AW164:BB164"/>
    <mergeCell ref="BC164:BH164"/>
    <mergeCell ref="E165:H165"/>
    <mergeCell ref="I165:N165"/>
    <mergeCell ref="O165:T165"/>
    <mergeCell ref="U165:Z165"/>
    <mergeCell ref="AA165:AF165"/>
    <mergeCell ref="AG165:AH165"/>
    <mergeCell ref="AI165:AJ165"/>
    <mergeCell ref="AK165:AP165"/>
    <mergeCell ref="AQ165:AV165"/>
    <mergeCell ref="AW165:BB165"/>
    <mergeCell ref="BC165:BH165"/>
    <mergeCell ref="E166:H166"/>
    <mergeCell ref="I166:N166"/>
    <mergeCell ref="O166:T166"/>
    <mergeCell ref="U166:Z166"/>
    <mergeCell ref="AA166:AF166"/>
    <mergeCell ref="AG166:AH166"/>
    <mergeCell ref="AI166:AJ166"/>
    <mergeCell ref="AK166:AP166"/>
    <mergeCell ref="AQ166:AV166"/>
    <mergeCell ref="AW166:BB166"/>
    <mergeCell ref="BC166:BH166"/>
    <mergeCell ref="E167:H167"/>
    <mergeCell ref="I167:N167"/>
    <mergeCell ref="O167:T167"/>
    <mergeCell ref="U167:Z167"/>
    <mergeCell ref="AA167:AF167"/>
    <mergeCell ref="AG167:AH167"/>
    <mergeCell ref="AI167:AJ167"/>
    <mergeCell ref="AK167:AP167"/>
    <mergeCell ref="AQ167:AV167"/>
    <mergeCell ref="AW167:BB167"/>
    <mergeCell ref="BC167:BH167"/>
    <mergeCell ref="E168:H168"/>
    <mergeCell ref="I168:N168"/>
    <mergeCell ref="O168:T168"/>
    <mergeCell ref="U168:Z168"/>
    <mergeCell ref="AA168:AF168"/>
    <mergeCell ref="AG168:AH168"/>
    <mergeCell ref="AI168:AJ168"/>
    <mergeCell ref="AK168:AP168"/>
    <mergeCell ref="AQ168:AV168"/>
    <mergeCell ref="AW168:BB168"/>
    <mergeCell ref="BC168:BH168"/>
    <mergeCell ref="E169:H169"/>
    <mergeCell ref="I169:N169"/>
    <mergeCell ref="O169:T169"/>
    <mergeCell ref="U169:Z169"/>
    <mergeCell ref="AA169:AF169"/>
    <mergeCell ref="AG169:AH169"/>
    <mergeCell ref="AI169:AJ169"/>
    <mergeCell ref="AK169:AP169"/>
    <mergeCell ref="AQ169:AV169"/>
    <mergeCell ref="AW169:BB169"/>
    <mergeCell ref="BC169:BH169"/>
    <mergeCell ref="E170:H170"/>
    <mergeCell ref="I170:N170"/>
    <mergeCell ref="O170:T170"/>
    <mergeCell ref="U170:Z170"/>
    <mergeCell ref="AA170:AF170"/>
    <mergeCell ref="AG170:AH170"/>
    <mergeCell ref="AI170:AJ170"/>
    <mergeCell ref="AK170:AP170"/>
    <mergeCell ref="AQ170:AV170"/>
    <mergeCell ref="AW170:BB170"/>
    <mergeCell ref="BC170:BH170"/>
    <mergeCell ref="E171:H171"/>
    <mergeCell ref="I171:N171"/>
    <mergeCell ref="O171:T171"/>
    <mergeCell ref="U171:Z171"/>
    <mergeCell ref="AA171:AF171"/>
    <mergeCell ref="AG171:AH171"/>
    <mergeCell ref="AI171:AJ171"/>
    <mergeCell ref="AK171:AP171"/>
    <mergeCell ref="AQ171:AV171"/>
    <mergeCell ref="AW171:BB171"/>
    <mergeCell ref="BC171:BH171"/>
    <mergeCell ref="E172:H172"/>
    <mergeCell ref="I172:N172"/>
    <mergeCell ref="O172:T172"/>
    <mergeCell ref="U172:Z172"/>
    <mergeCell ref="AA172:AF172"/>
    <mergeCell ref="AG172:AH172"/>
    <mergeCell ref="AI172:AJ172"/>
    <mergeCell ref="AK172:AP172"/>
    <mergeCell ref="AQ172:AV172"/>
    <mergeCell ref="AW172:BB172"/>
    <mergeCell ref="BC172:BH172"/>
    <mergeCell ref="E173:H173"/>
    <mergeCell ref="I173:N173"/>
    <mergeCell ref="O173:T173"/>
    <mergeCell ref="U173:Z173"/>
    <mergeCell ref="AA173:AF173"/>
    <mergeCell ref="AG173:AH173"/>
    <mergeCell ref="AI173:AJ173"/>
    <mergeCell ref="AK173:AP173"/>
    <mergeCell ref="AQ173:AV173"/>
    <mergeCell ref="AW173:BB173"/>
    <mergeCell ref="BC173:BH173"/>
    <mergeCell ref="E174:H174"/>
    <mergeCell ref="I174:N174"/>
    <mergeCell ref="O174:T174"/>
    <mergeCell ref="U174:Z174"/>
    <mergeCell ref="AA174:AF174"/>
    <mergeCell ref="AG174:AH174"/>
    <mergeCell ref="AI174:AJ174"/>
    <mergeCell ref="AK174:AP174"/>
    <mergeCell ref="AQ174:AV174"/>
    <mergeCell ref="AW174:BB174"/>
    <mergeCell ref="BC174:BH174"/>
    <mergeCell ref="E175:H175"/>
    <mergeCell ref="I175:N175"/>
    <mergeCell ref="O175:T175"/>
    <mergeCell ref="U175:Z175"/>
    <mergeCell ref="AA175:AF175"/>
    <mergeCell ref="AG175:AH175"/>
    <mergeCell ref="AI175:AJ175"/>
    <mergeCell ref="AK175:AP175"/>
    <mergeCell ref="AQ175:AV175"/>
    <mergeCell ref="AW175:BB175"/>
    <mergeCell ref="BC175:BH175"/>
    <mergeCell ref="E176:H176"/>
    <mergeCell ref="I176:N176"/>
    <mergeCell ref="O176:T176"/>
    <mergeCell ref="U176:Z176"/>
    <mergeCell ref="AA176:AF176"/>
    <mergeCell ref="AG176:AH176"/>
    <mergeCell ref="AI176:AJ176"/>
    <mergeCell ref="AK176:AP176"/>
    <mergeCell ref="AQ176:AV176"/>
    <mergeCell ref="AW176:BB176"/>
    <mergeCell ref="BC176:BH176"/>
    <mergeCell ref="A179:E179"/>
    <mergeCell ref="F179:N179"/>
    <mergeCell ref="O179:S179"/>
    <mergeCell ref="T179:AB179"/>
    <mergeCell ref="AC179:AJ179"/>
    <mergeCell ref="AK179:AS179"/>
    <mergeCell ref="AT179:AX179"/>
    <mergeCell ref="AY179:BH179"/>
    <mergeCell ref="S50:U51"/>
    <mergeCell ref="A43:D48"/>
    <mergeCell ref="E43:H48"/>
    <mergeCell ref="BE43:BH48"/>
    <mergeCell ref="E50:F51"/>
    <mergeCell ref="AG50:AH51"/>
    <mergeCell ref="P35:AC41"/>
    <mergeCell ref="AM35:AU41"/>
    <mergeCell ref="I43:AF48"/>
    <mergeCell ref="AG43:BD48"/>
    <mergeCell ref="AU50:AW51"/>
    <mergeCell ref="E121:H123"/>
    <mergeCell ref="AG121:AJ123"/>
    <mergeCell ref="A121:D143"/>
    <mergeCell ref="E144:H146"/>
    <mergeCell ref="E159:H161"/>
    <mergeCell ref="E177:BH178"/>
    <mergeCell ref="A177:D178"/>
    <mergeCell ref="A144:D176"/>
    <mergeCell ref="A49:D51"/>
    <mergeCell ref="A52:D54"/>
    <mergeCell ref="A55:D57"/>
  </mergeCells>
  <hyperlinks>
    <hyperlink ref="A1" location="Catalogue!A1" display="Back"/>
    <hyperlink ref="A1:BH1" location="目录!A1" display="Back"/>
  </hyperlinks>
  <printOptions horizontalCentered="1"/>
  <pageMargins left="0.15748031496063" right="0.15748031496063" top="0.393700787401575" bottom="0.393700787401575" header="0.31496062992126" footer="0.31496062992126"/>
  <pageSetup paperSize="9" scale="68" orientation="portrait"/>
  <headerFooter/>
  <rowBreaks count="1" manualBreakCount="1">
    <brk id="57" max="16383" man="1"/>
  </rowBreaks>
  <colBreaks count="1" manualBreakCount="1">
    <brk id="60" max="107" man="1"/>
  </colBreaks>
  <ignoredErrors>
    <ignoredError sqref="AK121 O122 U121:U122 AA122 A121 E121 I121:I122" unlockedFormula="1"/>
  </ignoredError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I180"/>
  <sheetViews>
    <sheetView view="pageBreakPreview" zoomScale="85" zoomScaleNormal="85" workbookViewId="0">
      <selection activeCell="AK147" sqref="AK147:AP147"/>
    </sheetView>
  </sheetViews>
  <sheetFormatPr defaultColWidth="9" defaultRowHeight="16.5"/>
  <cols>
    <col min="1" max="33" width="2.125" style="634" customWidth="1"/>
    <col min="34" max="34" width="4.85" style="634" customWidth="1"/>
    <col min="35" max="35" width="2.125" style="634" customWidth="1"/>
    <col min="36" max="36" width="4.55" style="634" customWidth="1"/>
    <col min="37" max="39" width="2.125" style="634" customWidth="1"/>
    <col min="40" max="40" width="1.625" style="634" customWidth="1"/>
    <col min="41" max="60" width="2.125" style="634" customWidth="1"/>
    <col min="61" max="16384" width="9" style="634"/>
  </cols>
  <sheetData>
    <row r="1" ht="15.75" spans="1:60">
      <c r="A1" s="3" t="s">
        <v>880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row>
    <row r="2" ht="30" spans="1:61">
      <c r="A2" s="635" t="str">
        <f>IF(目录!G2="中文",对照!Z2,IF(目录!G2="English",对照!AA2,对照!Z2))</f>
        <v>试模参数记录表</v>
      </c>
      <c r="B2" s="636"/>
      <c r="C2" s="636"/>
      <c r="D2" s="636"/>
      <c r="E2" s="636"/>
      <c r="F2" s="636"/>
      <c r="G2" s="636"/>
      <c r="H2" s="636"/>
      <c r="I2" s="636"/>
      <c r="J2" s="636"/>
      <c r="K2" s="636"/>
      <c r="L2" s="636"/>
      <c r="M2" s="636"/>
      <c r="N2" s="636"/>
      <c r="O2" s="636"/>
      <c r="P2" s="636"/>
      <c r="Q2" s="636"/>
      <c r="R2" s="636"/>
      <c r="S2" s="636"/>
      <c r="T2" s="636"/>
      <c r="U2" s="636"/>
      <c r="V2" s="636"/>
      <c r="W2" s="636"/>
      <c r="X2" s="636"/>
      <c r="Y2" s="636"/>
      <c r="Z2" s="636"/>
      <c r="AA2" s="636"/>
      <c r="AB2" s="636"/>
      <c r="AC2" s="636"/>
      <c r="AD2" s="636"/>
      <c r="AE2" s="636"/>
      <c r="AF2" s="636"/>
      <c r="AG2" s="636"/>
      <c r="AH2" s="636"/>
      <c r="AI2" s="636"/>
      <c r="AJ2" s="636"/>
      <c r="AK2" s="636"/>
      <c r="AL2" s="636"/>
      <c r="AM2" s="636"/>
      <c r="AN2" s="636"/>
      <c r="AO2" s="636"/>
      <c r="AP2" s="636"/>
      <c r="AQ2" s="636"/>
      <c r="AR2" s="636"/>
      <c r="AS2" s="636"/>
      <c r="AT2" s="636"/>
      <c r="AU2" s="636"/>
      <c r="AV2" s="636"/>
      <c r="AW2" s="636"/>
      <c r="AX2" s="636"/>
      <c r="AY2" s="636"/>
      <c r="AZ2" s="636"/>
      <c r="BA2" s="636"/>
      <c r="BB2" s="636"/>
      <c r="BC2" s="636"/>
      <c r="BD2" s="636"/>
      <c r="BE2" s="636"/>
      <c r="BF2" s="636"/>
      <c r="BG2" s="636"/>
      <c r="BH2" s="636"/>
      <c r="BI2" s="762"/>
    </row>
    <row r="3" ht="24" customHeight="1" spans="1:60">
      <c r="A3" s="637" t="str">
        <f>IF(目录!G2="中文",对照!Z3,IF(目录!G2="English",对照!AA3,对照!Z3))</f>
        <v>基本信息</v>
      </c>
      <c r="B3" s="638"/>
      <c r="C3" s="638"/>
      <c r="D3" s="638"/>
      <c r="E3" s="638"/>
      <c r="F3" s="638"/>
      <c r="G3" s="638"/>
      <c r="H3" s="638"/>
      <c r="I3" s="638"/>
      <c r="J3" s="638"/>
      <c r="K3" s="638"/>
      <c r="L3" s="638"/>
      <c r="M3" s="638"/>
      <c r="N3" s="638"/>
      <c r="O3" s="638"/>
      <c r="P3" s="638"/>
      <c r="Q3" s="638"/>
      <c r="R3" s="638"/>
      <c r="S3" s="638"/>
      <c r="T3" s="638"/>
      <c r="U3" s="638"/>
      <c r="V3" s="638"/>
      <c r="W3" s="638"/>
      <c r="X3" s="638"/>
      <c r="Y3" s="638"/>
      <c r="Z3" s="638"/>
      <c r="AA3" s="638"/>
      <c r="AB3" s="638"/>
      <c r="AC3" s="638"/>
      <c r="AD3" s="638"/>
      <c r="AE3" s="638"/>
      <c r="AF3" s="638"/>
      <c r="AG3" s="638"/>
      <c r="AH3" s="638"/>
      <c r="AI3" s="638"/>
      <c r="AJ3" s="638"/>
      <c r="AK3" s="638"/>
      <c r="AL3" s="638"/>
      <c r="AM3" s="638"/>
      <c r="AN3" s="638"/>
      <c r="AO3" s="638"/>
      <c r="AP3" s="638"/>
      <c r="AQ3" s="638"/>
      <c r="AR3" s="638"/>
      <c r="AS3" s="638"/>
      <c r="AT3" s="638"/>
      <c r="AU3" s="638"/>
      <c r="AV3" s="638"/>
      <c r="AW3" s="638"/>
      <c r="AX3" s="638"/>
      <c r="AY3" s="638"/>
      <c r="AZ3" s="638"/>
      <c r="BA3" s="638"/>
      <c r="BB3" s="638"/>
      <c r="BC3" s="638"/>
      <c r="BD3" s="638"/>
      <c r="BE3" s="638"/>
      <c r="BF3" s="638"/>
      <c r="BG3" s="638"/>
      <c r="BH3" s="763"/>
    </row>
    <row r="4" ht="15.95" customHeight="1" spans="1:60">
      <c r="A4" s="639" t="s">
        <v>890</v>
      </c>
      <c r="B4" s="640"/>
      <c r="C4" s="640"/>
      <c r="D4" s="640"/>
      <c r="E4" s="640"/>
      <c r="F4" s="640"/>
      <c r="G4" s="640"/>
      <c r="H4" s="640"/>
      <c r="I4" s="701"/>
      <c r="J4" s="702"/>
      <c r="K4" s="702"/>
      <c r="L4" s="702"/>
      <c r="M4" s="702"/>
      <c r="N4" s="702"/>
      <c r="O4" s="702"/>
      <c r="P4" s="702"/>
      <c r="Q4" s="702"/>
      <c r="R4" s="702"/>
      <c r="S4" s="702"/>
      <c r="T4" s="722"/>
      <c r="U4" s="723" t="s">
        <v>265</v>
      </c>
      <c r="V4" s="724"/>
      <c r="W4" s="724"/>
      <c r="X4" s="724"/>
      <c r="Y4" s="724"/>
      <c r="Z4" s="724"/>
      <c r="AA4" s="724"/>
      <c r="AB4" s="740"/>
      <c r="AC4" s="741"/>
      <c r="AD4" s="742"/>
      <c r="AE4" s="742"/>
      <c r="AF4" s="742"/>
      <c r="AG4" s="742"/>
      <c r="AH4" s="742"/>
      <c r="AI4" s="742"/>
      <c r="AJ4" s="742"/>
      <c r="AK4" s="742"/>
      <c r="AL4" s="742"/>
      <c r="AM4" s="742"/>
      <c r="AN4" s="748"/>
      <c r="AO4" s="658" t="s">
        <v>891</v>
      </c>
      <c r="AP4" s="658"/>
      <c r="AQ4" s="658"/>
      <c r="AR4" s="658"/>
      <c r="AS4" s="658"/>
      <c r="AT4" s="658"/>
      <c r="AU4" s="658"/>
      <c r="AV4" s="658"/>
      <c r="AW4" s="742"/>
      <c r="AX4" s="742"/>
      <c r="AY4" s="742"/>
      <c r="AZ4" s="742"/>
      <c r="BA4" s="742"/>
      <c r="BB4" s="742"/>
      <c r="BC4" s="742"/>
      <c r="BD4" s="742"/>
      <c r="BE4" s="742"/>
      <c r="BF4" s="742"/>
      <c r="BG4" s="742"/>
      <c r="BH4" s="764"/>
    </row>
    <row r="5" ht="15.95" customHeight="1" spans="1:60">
      <c r="A5" s="641" t="s">
        <v>405</v>
      </c>
      <c r="B5" s="642"/>
      <c r="C5" s="642"/>
      <c r="D5" s="642"/>
      <c r="E5" s="642"/>
      <c r="F5" s="642"/>
      <c r="G5" s="642"/>
      <c r="H5" s="642"/>
      <c r="I5" s="703"/>
      <c r="J5" s="704"/>
      <c r="K5" s="704"/>
      <c r="L5" s="704"/>
      <c r="M5" s="704"/>
      <c r="N5" s="704"/>
      <c r="O5" s="704"/>
      <c r="P5" s="704"/>
      <c r="Q5" s="725" t="s">
        <v>892</v>
      </c>
      <c r="R5" s="725"/>
      <c r="S5" s="725"/>
      <c r="T5" s="725"/>
      <c r="U5" s="642" t="s">
        <v>162</v>
      </c>
      <c r="V5" s="642"/>
      <c r="W5" s="642"/>
      <c r="X5" s="642"/>
      <c r="Y5" s="642"/>
      <c r="Z5" s="642"/>
      <c r="AA5" s="642"/>
      <c r="AB5" s="642"/>
      <c r="AC5" s="704"/>
      <c r="AD5" s="704"/>
      <c r="AE5" s="704"/>
      <c r="AF5" s="704"/>
      <c r="AG5" s="704"/>
      <c r="AH5" s="704"/>
      <c r="AI5" s="704"/>
      <c r="AJ5" s="704"/>
      <c r="AK5" s="704"/>
      <c r="AL5" s="704"/>
      <c r="AM5" s="704"/>
      <c r="AN5" s="749"/>
      <c r="AO5" s="756"/>
      <c r="AP5" s="757"/>
      <c r="AQ5" s="757"/>
      <c r="AR5" s="757"/>
      <c r="AS5" s="757"/>
      <c r="AT5" s="757"/>
      <c r="AU5" s="757"/>
      <c r="AV5" s="757"/>
      <c r="AW5" s="757"/>
      <c r="AX5" s="757"/>
      <c r="AY5" s="757"/>
      <c r="AZ5" s="757"/>
      <c r="BA5" s="757"/>
      <c r="BB5" s="757"/>
      <c r="BC5" s="757"/>
      <c r="BD5" s="757"/>
      <c r="BE5" s="757"/>
      <c r="BF5" s="757"/>
      <c r="BG5" s="757"/>
      <c r="BH5" s="765"/>
    </row>
    <row r="6" ht="15.95" customHeight="1" spans="1:60">
      <c r="A6" s="643" t="s">
        <v>272</v>
      </c>
      <c r="B6" s="644"/>
      <c r="C6" s="644"/>
      <c r="D6" s="644"/>
      <c r="E6" s="644"/>
      <c r="F6" s="644"/>
      <c r="G6" s="644"/>
      <c r="H6" s="644"/>
      <c r="I6" s="644"/>
      <c r="J6" s="644"/>
      <c r="K6" s="644"/>
      <c r="L6" s="644"/>
      <c r="M6" s="644"/>
      <c r="N6" s="644"/>
      <c r="O6" s="644"/>
      <c r="P6" s="644"/>
      <c r="Q6" s="644"/>
      <c r="R6" s="644"/>
      <c r="S6" s="644"/>
      <c r="T6" s="644"/>
      <c r="U6" s="644"/>
      <c r="V6" s="644"/>
      <c r="W6" s="644"/>
      <c r="X6" s="644"/>
      <c r="Y6" s="644"/>
      <c r="Z6" s="644"/>
      <c r="AA6" s="644"/>
      <c r="AB6" s="644"/>
      <c r="AC6" s="644"/>
      <c r="AD6" s="644"/>
      <c r="AE6" s="644"/>
      <c r="AF6" s="644"/>
      <c r="AG6" s="644"/>
      <c r="AH6" s="644"/>
      <c r="AI6" s="644"/>
      <c r="AJ6" s="644"/>
      <c r="AK6" s="644"/>
      <c r="AL6" s="644"/>
      <c r="AM6" s="644"/>
      <c r="AN6" s="644"/>
      <c r="AO6" s="644"/>
      <c r="AP6" s="644"/>
      <c r="AQ6" s="644"/>
      <c r="AR6" s="644"/>
      <c r="AS6" s="644"/>
      <c r="AT6" s="644"/>
      <c r="AU6" s="644"/>
      <c r="AV6" s="644"/>
      <c r="AW6" s="644"/>
      <c r="AX6" s="644"/>
      <c r="AY6" s="644"/>
      <c r="AZ6" s="644"/>
      <c r="BA6" s="644"/>
      <c r="BB6" s="644"/>
      <c r="BC6" s="644"/>
      <c r="BD6" s="644"/>
      <c r="BE6" s="644"/>
      <c r="BF6" s="644"/>
      <c r="BG6" s="644"/>
      <c r="BH6" s="766"/>
    </row>
    <row r="7" ht="15.95" customHeight="1" spans="1:60">
      <c r="A7" s="645" t="s">
        <v>893</v>
      </c>
      <c r="B7" s="646"/>
      <c r="C7" s="646"/>
      <c r="D7" s="646"/>
      <c r="E7" s="646"/>
      <c r="F7" s="646"/>
      <c r="G7" s="646"/>
      <c r="H7" s="646"/>
      <c r="I7" s="705"/>
      <c r="J7" s="705"/>
      <c r="K7" s="705"/>
      <c r="L7" s="705"/>
      <c r="M7" s="705"/>
      <c r="N7" s="705"/>
      <c r="O7" s="705"/>
      <c r="P7" s="705"/>
      <c r="Q7" s="726" t="s">
        <v>894</v>
      </c>
      <c r="R7" s="726"/>
      <c r="S7" s="726"/>
      <c r="T7" s="726"/>
      <c r="U7" s="646" t="s">
        <v>370</v>
      </c>
      <c r="V7" s="646"/>
      <c r="W7" s="646"/>
      <c r="X7" s="646"/>
      <c r="Y7" s="646"/>
      <c r="Z7" s="646"/>
      <c r="AA7" s="646"/>
      <c r="AB7" s="646"/>
      <c r="AC7" s="743"/>
      <c r="AD7" s="744"/>
      <c r="AE7" s="744"/>
      <c r="AF7" s="744"/>
      <c r="AG7" s="744"/>
      <c r="AH7" s="744"/>
      <c r="AI7" s="744"/>
      <c r="AJ7" s="744"/>
      <c r="AK7" s="744"/>
      <c r="AL7" s="744"/>
      <c r="AM7" s="744"/>
      <c r="AN7" s="750"/>
      <c r="AO7" s="646" t="s">
        <v>242</v>
      </c>
      <c r="AP7" s="646"/>
      <c r="AQ7" s="646"/>
      <c r="AR7" s="646"/>
      <c r="AS7" s="646"/>
      <c r="AT7" s="646"/>
      <c r="AU7" s="646"/>
      <c r="AV7" s="646"/>
      <c r="AW7" s="743"/>
      <c r="AX7" s="744"/>
      <c r="AY7" s="744"/>
      <c r="AZ7" s="744"/>
      <c r="BA7" s="744"/>
      <c r="BB7" s="744"/>
      <c r="BC7" s="744"/>
      <c r="BD7" s="744"/>
      <c r="BE7" s="744"/>
      <c r="BF7" s="744"/>
      <c r="BG7" s="744"/>
      <c r="BH7" s="767"/>
    </row>
    <row r="8" ht="15.95" customHeight="1" spans="1:60">
      <c r="A8" s="647" t="s">
        <v>895</v>
      </c>
      <c r="B8" s="648"/>
      <c r="C8" s="648"/>
      <c r="D8" s="648"/>
      <c r="E8" s="648"/>
      <c r="F8" s="648"/>
      <c r="G8" s="648"/>
      <c r="H8" s="648"/>
      <c r="I8" s="662"/>
      <c r="J8" s="662"/>
      <c r="K8" s="662"/>
      <c r="L8" s="662"/>
      <c r="M8" s="662"/>
      <c r="N8" s="662"/>
      <c r="O8" s="662"/>
      <c r="P8" s="662"/>
      <c r="Q8" s="696" t="s">
        <v>896</v>
      </c>
      <c r="R8" s="696"/>
      <c r="S8" s="696"/>
      <c r="T8" s="696"/>
      <c r="U8" s="648" t="s">
        <v>897</v>
      </c>
      <c r="V8" s="648"/>
      <c r="W8" s="648"/>
      <c r="X8" s="648"/>
      <c r="Y8" s="648"/>
      <c r="Z8" s="648"/>
      <c r="AA8" s="648"/>
      <c r="AB8" s="648"/>
      <c r="AC8" s="662"/>
      <c r="AD8" s="662"/>
      <c r="AE8" s="662"/>
      <c r="AF8" s="662"/>
      <c r="AG8" s="662"/>
      <c r="AH8" s="662"/>
      <c r="AI8" s="662"/>
      <c r="AJ8" s="662"/>
      <c r="AK8" s="696" t="s">
        <v>898</v>
      </c>
      <c r="AL8" s="696"/>
      <c r="AM8" s="696"/>
      <c r="AN8" s="696"/>
      <c r="AO8" s="648"/>
      <c r="AP8" s="648"/>
      <c r="AQ8" s="648"/>
      <c r="AR8" s="648"/>
      <c r="AS8" s="648"/>
      <c r="AT8" s="648"/>
      <c r="AU8" s="648"/>
      <c r="AV8" s="648"/>
      <c r="AW8" s="648"/>
      <c r="AX8" s="648"/>
      <c r="AY8" s="648"/>
      <c r="AZ8" s="648"/>
      <c r="BA8" s="648"/>
      <c r="BB8" s="648"/>
      <c r="BC8" s="648"/>
      <c r="BD8" s="648"/>
      <c r="BE8" s="648"/>
      <c r="BF8" s="648"/>
      <c r="BG8" s="648"/>
      <c r="BH8" s="768"/>
    </row>
    <row r="9" ht="15.95" customHeight="1" spans="1:60">
      <c r="A9" s="647" t="s">
        <v>899</v>
      </c>
      <c r="B9" s="648"/>
      <c r="C9" s="648"/>
      <c r="D9" s="648"/>
      <c r="E9" s="648"/>
      <c r="F9" s="648"/>
      <c r="G9" s="648"/>
      <c r="H9" s="648"/>
      <c r="I9" s="662"/>
      <c r="J9" s="662"/>
      <c r="K9" s="662"/>
      <c r="L9" s="662"/>
      <c r="M9" s="662"/>
      <c r="N9" s="662"/>
      <c r="O9" s="662"/>
      <c r="P9" s="662"/>
      <c r="Q9" s="696" t="s">
        <v>900</v>
      </c>
      <c r="R9" s="696"/>
      <c r="S9" s="696"/>
      <c r="T9" s="696"/>
      <c r="U9" s="648" t="s">
        <v>443</v>
      </c>
      <c r="V9" s="648"/>
      <c r="W9" s="648"/>
      <c r="X9" s="648"/>
      <c r="Y9" s="648"/>
      <c r="Z9" s="648"/>
      <c r="AA9" s="648"/>
      <c r="AB9" s="648"/>
      <c r="AC9" s="662"/>
      <c r="AD9" s="662"/>
      <c r="AE9" s="662"/>
      <c r="AF9" s="662"/>
      <c r="AG9" s="662"/>
      <c r="AH9" s="662"/>
      <c r="AI9" s="662"/>
      <c r="AJ9" s="662"/>
      <c r="AK9" s="696" t="s">
        <v>900</v>
      </c>
      <c r="AL9" s="696"/>
      <c r="AM9" s="696"/>
      <c r="AN9" s="696"/>
      <c r="AO9" s="648" t="s">
        <v>901</v>
      </c>
      <c r="AP9" s="648"/>
      <c r="AQ9" s="648"/>
      <c r="AR9" s="648"/>
      <c r="AS9" s="648"/>
      <c r="AT9" s="648"/>
      <c r="AU9" s="648"/>
      <c r="AV9" s="648"/>
      <c r="AW9" s="760"/>
      <c r="AX9" s="760"/>
      <c r="AY9" s="760"/>
      <c r="AZ9" s="760"/>
      <c r="BA9" s="760"/>
      <c r="BB9" s="760"/>
      <c r="BC9" s="760"/>
      <c r="BD9" s="760"/>
      <c r="BE9" s="760"/>
      <c r="BF9" s="760"/>
      <c r="BG9" s="760"/>
      <c r="BH9" s="769"/>
    </row>
    <row r="10" ht="15.95" customHeight="1" spans="1:60">
      <c r="A10" s="647" t="s">
        <v>902</v>
      </c>
      <c r="B10" s="648"/>
      <c r="C10" s="648"/>
      <c r="D10" s="648"/>
      <c r="E10" s="648"/>
      <c r="F10" s="648"/>
      <c r="G10" s="648"/>
      <c r="H10" s="648"/>
      <c r="I10" s="648"/>
      <c r="J10" s="648"/>
      <c r="K10" s="648"/>
      <c r="L10" s="648"/>
      <c r="M10" s="648"/>
      <c r="N10" s="648"/>
      <c r="O10" s="648"/>
      <c r="P10" s="648"/>
      <c r="Q10" s="662"/>
      <c r="R10" s="662"/>
      <c r="S10" s="662"/>
      <c r="T10" s="662"/>
      <c r="U10" s="662"/>
      <c r="V10" s="662"/>
      <c r="W10" s="662"/>
      <c r="X10" s="662"/>
      <c r="Y10" s="696" t="s">
        <v>903</v>
      </c>
      <c r="Z10" s="696"/>
      <c r="AA10" s="696"/>
      <c r="AB10" s="696"/>
      <c r="AC10" s="696"/>
      <c r="AD10" s="696"/>
      <c r="AE10" s="648" t="s">
        <v>904</v>
      </c>
      <c r="AF10" s="648"/>
      <c r="AG10" s="648"/>
      <c r="AH10" s="648"/>
      <c r="AI10" s="648"/>
      <c r="AJ10" s="648"/>
      <c r="AK10" s="648"/>
      <c r="AL10" s="648"/>
      <c r="AM10" s="648"/>
      <c r="AN10" s="648"/>
      <c r="AO10" s="648"/>
      <c r="AP10" s="648"/>
      <c r="AQ10" s="648"/>
      <c r="AR10" s="648"/>
      <c r="AS10" s="648"/>
      <c r="AT10" s="648"/>
      <c r="AU10" s="662"/>
      <c r="AV10" s="662"/>
      <c r="AW10" s="662"/>
      <c r="AX10" s="662"/>
      <c r="AY10" s="662"/>
      <c r="AZ10" s="662"/>
      <c r="BA10" s="662"/>
      <c r="BB10" s="662"/>
      <c r="BC10" s="696" t="s">
        <v>905</v>
      </c>
      <c r="BD10" s="696"/>
      <c r="BE10" s="696"/>
      <c r="BF10" s="696"/>
      <c r="BG10" s="696"/>
      <c r="BH10" s="770"/>
    </row>
    <row r="11" ht="15.95" customHeight="1" spans="1:60">
      <c r="A11" s="649" t="s">
        <v>525</v>
      </c>
      <c r="B11" s="650"/>
      <c r="C11" s="650"/>
      <c r="D11" s="650"/>
      <c r="E11" s="650"/>
      <c r="F11" s="650"/>
      <c r="G11" s="650"/>
      <c r="H11" s="650"/>
      <c r="I11" s="706"/>
      <c r="J11" s="706"/>
      <c r="K11" s="706"/>
      <c r="L11" s="706"/>
      <c r="M11" s="706"/>
      <c r="N11" s="706"/>
      <c r="O11" s="706"/>
      <c r="P11" s="706"/>
      <c r="Q11" s="727" t="s">
        <v>906</v>
      </c>
      <c r="R11" s="728"/>
      <c r="S11" s="728"/>
      <c r="T11" s="729"/>
      <c r="U11" s="650" t="s">
        <v>907</v>
      </c>
      <c r="V11" s="650"/>
      <c r="W11" s="650"/>
      <c r="X11" s="650"/>
      <c r="Y11" s="650"/>
      <c r="Z11" s="650"/>
      <c r="AA11" s="650"/>
      <c r="AB11" s="650"/>
      <c r="AC11" s="706"/>
      <c r="AD11" s="706"/>
      <c r="AE11" s="706"/>
      <c r="AF11" s="706"/>
      <c r="AG11" s="706"/>
      <c r="AH11" s="706"/>
      <c r="AI11" s="706"/>
      <c r="AJ11" s="706"/>
      <c r="AK11" s="727" t="s">
        <v>906</v>
      </c>
      <c r="AL11" s="728"/>
      <c r="AM11" s="728"/>
      <c r="AN11" s="729"/>
      <c r="AO11" s="650" t="s">
        <v>908</v>
      </c>
      <c r="AP11" s="650"/>
      <c r="AQ11" s="650"/>
      <c r="AR11" s="650"/>
      <c r="AS11" s="650"/>
      <c r="AT11" s="650"/>
      <c r="AU11" s="650"/>
      <c r="AV11" s="650"/>
      <c r="AW11" s="706"/>
      <c r="AX11" s="706"/>
      <c r="AY11" s="706"/>
      <c r="AZ11" s="706"/>
      <c r="BA11" s="706"/>
      <c r="BB11" s="706"/>
      <c r="BC11" s="706"/>
      <c r="BD11" s="706"/>
      <c r="BE11" s="727" t="s">
        <v>906</v>
      </c>
      <c r="BF11" s="728"/>
      <c r="BG11" s="728"/>
      <c r="BH11" s="771"/>
    </row>
    <row r="12" ht="18" spans="1:60">
      <c r="A12" s="651" t="str">
        <f>IF(目录!G2="中文",对照!Z22,IF(目录!G2="English",对照!AA22,对照!Z22))</f>
        <v>试模类型</v>
      </c>
      <c r="B12" s="652"/>
      <c r="C12" s="652"/>
      <c r="D12" s="652"/>
      <c r="E12" s="652"/>
      <c r="F12" s="652"/>
      <c r="G12" s="652"/>
      <c r="H12" s="652"/>
      <c r="I12" s="652" t="s">
        <v>541</v>
      </c>
      <c r="J12" s="652"/>
      <c r="K12" s="652"/>
      <c r="L12" s="652"/>
      <c r="M12" s="652"/>
      <c r="N12" s="652"/>
      <c r="O12" s="652"/>
      <c r="P12" s="652"/>
      <c r="Q12" s="730"/>
      <c r="R12" s="730"/>
      <c r="S12" s="730"/>
      <c r="T12" s="730"/>
      <c r="U12" s="730"/>
      <c r="V12" s="730"/>
      <c r="W12" s="731" t="s">
        <v>548</v>
      </c>
      <c r="X12" s="731"/>
      <c r="Y12" s="731"/>
      <c r="Z12" s="731"/>
      <c r="AA12" s="731"/>
      <c r="AB12" s="731"/>
      <c r="AC12" s="731"/>
      <c r="AD12" s="731"/>
      <c r="AE12" s="731"/>
      <c r="AF12" s="731"/>
      <c r="AG12" s="731"/>
      <c r="AH12" s="731"/>
      <c r="AI12" s="751"/>
      <c r="AJ12" s="751"/>
      <c r="AK12" s="751"/>
      <c r="AL12" s="751"/>
      <c r="AM12" s="751"/>
      <c r="AN12" s="751"/>
      <c r="AO12" s="652" t="s">
        <v>552</v>
      </c>
      <c r="AP12" s="652"/>
      <c r="AQ12" s="652"/>
      <c r="AR12" s="652"/>
      <c r="AS12" s="652"/>
      <c r="AT12" s="652"/>
      <c r="AU12" s="652"/>
      <c r="AV12" s="652"/>
      <c r="AW12" s="652"/>
      <c r="AX12" s="652"/>
      <c r="AY12" s="652"/>
      <c r="AZ12" s="652"/>
      <c r="BA12" s="652"/>
      <c r="BB12" s="652"/>
      <c r="BC12" s="761"/>
      <c r="BD12" s="761"/>
      <c r="BE12" s="761"/>
      <c r="BF12" s="761"/>
      <c r="BG12" s="761"/>
      <c r="BH12" s="772"/>
    </row>
    <row r="13" ht="24" customHeight="1" spans="1:60">
      <c r="A13" s="653" t="str">
        <f>IF(目录!G2="中文",对照!Z26,IF(目录!G2="English",对照!AA26,对照!Z26))</f>
        <v>温度控制</v>
      </c>
      <c r="B13" s="654"/>
      <c r="C13" s="654"/>
      <c r="D13" s="654"/>
      <c r="E13" s="654"/>
      <c r="F13" s="654"/>
      <c r="G13" s="654"/>
      <c r="H13" s="654"/>
      <c r="I13" s="654"/>
      <c r="J13" s="654"/>
      <c r="K13" s="654"/>
      <c r="L13" s="654"/>
      <c r="M13" s="654"/>
      <c r="N13" s="654"/>
      <c r="O13" s="654"/>
      <c r="P13" s="654"/>
      <c r="Q13" s="654"/>
      <c r="R13" s="654"/>
      <c r="S13" s="654"/>
      <c r="T13" s="654"/>
      <c r="U13" s="654"/>
      <c r="V13" s="654"/>
      <c r="W13" s="654"/>
      <c r="X13" s="654"/>
      <c r="Y13" s="654"/>
      <c r="Z13" s="654"/>
      <c r="AA13" s="654"/>
      <c r="AB13" s="654"/>
      <c r="AC13" s="654"/>
      <c r="AD13" s="654"/>
      <c r="AE13" s="654"/>
      <c r="AF13" s="654"/>
      <c r="AG13" s="654"/>
      <c r="AH13" s="654"/>
      <c r="AI13" s="654"/>
      <c r="AJ13" s="654"/>
      <c r="AK13" s="654"/>
      <c r="AL13" s="654"/>
      <c r="AM13" s="654"/>
      <c r="AN13" s="654"/>
      <c r="AO13" s="654"/>
      <c r="AP13" s="654"/>
      <c r="AQ13" s="654"/>
      <c r="AR13" s="654"/>
      <c r="AS13" s="654"/>
      <c r="AT13" s="654"/>
      <c r="AU13" s="654"/>
      <c r="AV13" s="654"/>
      <c r="AW13" s="654"/>
      <c r="AX13" s="654"/>
      <c r="AY13" s="654"/>
      <c r="AZ13" s="654"/>
      <c r="BA13" s="654"/>
      <c r="BB13" s="654"/>
      <c r="BC13" s="654"/>
      <c r="BD13" s="654"/>
      <c r="BE13" s="654"/>
      <c r="BF13" s="654"/>
      <c r="BG13" s="654"/>
      <c r="BH13" s="773"/>
    </row>
    <row r="14" ht="15.95" customHeight="1" spans="1:60">
      <c r="A14" s="655" t="str">
        <f>IF(目录!G2="中文",对照!Z32,IF(目录!G2="English",对照!AA32,对照!Z32))</f>
        <v>热流道温度控制</v>
      </c>
      <c r="B14" s="656"/>
      <c r="C14" s="656"/>
      <c r="D14" s="656"/>
      <c r="E14" s="656"/>
      <c r="F14" s="656"/>
      <c r="G14" s="656"/>
      <c r="H14" s="656"/>
      <c r="I14" s="656"/>
      <c r="J14" s="656"/>
      <c r="K14" s="656"/>
      <c r="L14" s="656"/>
      <c r="M14" s="656"/>
      <c r="N14" s="656"/>
      <c r="O14" s="707"/>
      <c r="P14" s="658" t="str">
        <f>IF(目录!G2="中文",对照!Z28,IF(目录!G2="English",对照!AA28,对照!Z28))</f>
        <v>单位</v>
      </c>
      <c r="Q14" s="658"/>
      <c r="R14" s="658"/>
      <c r="S14" s="658"/>
      <c r="T14" s="658"/>
      <c r="U14" s="732" t="s">
        <v>896</v>
      </c>
      <c r="V14" s="732"/>
      <c r="W14" s="732"/>
      <c r="X14" s="732"/>
      <c r="Y14" s="732"/>
      <c r="Z14" s="658" t="str">
        <f>IF(目录!G2="中文",对照!Z33,IF(目录!G2="English",对照!AA33,对照!Z33))</f>
        <v>热流道数量</v>
      </c>
      <c r="AA14" s="658"/>
      <c r="AB14" s="658"/>
      <c r="AC14" s="658"/>
      <c r="AD14" s="658"/>
      <c r="AE14" s="658"/>
      <c r="AF14" s="658"/>
      <c r="AG14" s="658"/>
      <c r="AH14" s="658"/>
      <c r="AI14" s="658"/>
      <c r="AJ14" s="742"/>
      <c r="AK14" s="742"/>
      <c r="AL14" s="742"/>
      <c r="AM14" s="742"/>
      <c r="AN14" s="748"/>
      <c r="AO14" s="758"/>
      <c r="AP14" s="759"/>
      <c r="AQ14" s="759"/>
      <c r="AR14" s="759"/>
      <c r="AS14" s="759"/>
      <c r="AT14" s="759"/>
      <c r="AU14" s="759"/>
      <c r="AV14" s="759"/>
      <c r="AW14" s="759"/>
      <c r="AX14" s="759"/>
      <c r="AY14" s="759"/>
      <c r="AZ14" s="759"/>
      <c r="BA14" s="759"/>
      <c r="BB14" s="759"/>
      <c r="BC14" s="759"/>
      <c r="BD14" s="759"/>
      <c r="BE14" s="759"/>
      <c r="BF14" s="759"/>
      <c r="BG14" s="759"/>
      <c r="BH14" s="774"/>
    </row>
    <row r="15" ht="15.95" customHeight="1" spans="1:60">
      <c r="A15" s="657" t="s">
        <v>589</v>
      </c>
      <c r="B15" s="658"/>
      <c r="C15" s="658"/>
      <c r="D15" s="658"/>
      <c r="E15" s="658"/>
      <c r="F15" s="658"/>
      <c r="G15" s="658"/>
      <c r="H15" s="658"/>
      <c r="I15" s="658"/>
      <c r="J15" s="658"/>
      <c r="K15" s="662">
        <v>1</v>
      </c>
      <c r="L15" s="662"/>
      <c r="M15" s="662"/>
      <c r="N15" s="662"/>
      <c r="O15" s="662"/>
      <c r="P15" s="662">
        <v>2</v>
      </c>
      <c r="Q15" s="662"/>
      <c r="R15" s="662"/>
      <c r="S15" s="662"/>
      <c r="T15" s="662"/>
      <c r="U15" s="662">
        <v>3</v>
      </c>
      <c r="V15" s="662"/>
      <c r="W15" s="662"/>
      <c r="X15" s="662"/>
      <c r="Y15" s="662"/>
      <c r="Z15" s="662">
        <v>4</v>
      </c>
      <c r="AA15" s="662"/>
      <c r="AB15" s="662"/>
      <c r="AC15" s="662"/>
      <c r="AD15" s="662"/>
      <c r="AE15" s="662">
        <v>5</v>
      </c>
      <c r="AF15" s="662"/>
      <c r="AG15" s="662"/>
      <c r="AH15" s="662"/>
      <c r="AI15" s="662"/>
      <c r="AJ15" s="662">
        <v>6</v>
      </c>
      <c r="AK15" s="662"/>
      <c r="AL15" s="662"/>
      <c r="AM15" s="662"/>
      <c r="AN15" s="662"/>
      <c r="AO15" s="662">
        <v>7</v>
      </c>
      <c r="AP15" s="662"/>
      <c r="AQ15" s="662"/>
      <c r="AR15" s="662"/>
      <c r="AS15" s="662"/>
      <c r="AT15" s="662">
        <v>8</v>
      </c>
      <c r="AU15" s="662"/>
      <c r="AV15" s="662"/>
      <c r="AW15" s="662"/>
      <c r="AX15" s="662"/>
      <c r="AY15" s="662">
        <v>9</v>
      </c>
      <c r="AZ15" s="662"/>
      <c r="BA15" s="662"/>
      <c r="BB15" s="662"/>
      <c r="BC15" s="662"/>
      <c r="BD15" s="662">
        <v>10</v>
      </c>
      <c r="BE15" s="662"/>
      <c r="BF15" s="662"/>
      <c r="BG15" s="662"/>
      <c r="BH15" s="775"/>
    </row>
    <row r="16" ht="15.95" customHeight="1" spans="1:60">
      <c r="A16" s="657" t="s">
        <v>576</v>
      </c>
      <c r="B16" s="658"/>
      <c r="C16" s="658"/>
      <c r="D16" s="658"/>
      <c r="E16" s="658"/>
      <c r="F16" s="658"/>
      <c r="G16" s="658"/>
      <c r="H16" s="658"/>
      <c r="I16" s="658"/>
      <c r="J16" s="658"/>
      <c r="K16" s="662" t="s">
        <v>909</v>
      </c>
      <c r="L16" s="662"/>
      <c r="M16" s="662"/>
      <c r="N16" s="662"/>
      <c r="O16" s="662"/>
      <c r="P16" s="662" t="s">
        <v>910</v>
      </c>
      <c r="Q16" s="662"/>
      <c r="R16" s="662"/>
      <c r="S16" s="662"/>
      <c r="T16" s="662"/>
      <c r="U16" s="662" t="s">
        <v>911</v>
      </c>
      <c r="V16" s="662"/>
      <c r="W16" s="662"/>
      <c r="X16" s="662"/>
      <c r="Y16" s="662"/>
      <c r="Z16" s="662" t="s">
        <v>912</v>
      </c>
      <c r="AA16" s="662"/>
      <c r="AB16" s="662"/>
      <c r="AC16" s="662"/>
      <c r="AD16" s="662"/>
      <c r="AE16" s="662" t="s">
        <v>913</v>
      </c>
      <c r="AF16" s="662"/>
      <c r="AG16" s="662"/>
      <c r="AH16" s="662"/>
      <c r="AI16" s="662"/>
      <c r="AJ16" s="662" t="s">
        <v>914</v>
      </c>
      <c r="AK16" s="662"/>
      <c r="AL16" s="662"/>
      <c r="AM16" s="662"/>
      <c r="AN16" s="662"/>
      <c r="AO16" s="662" t="s">
        <v>915</v>
      </c>
      <c r="AP16" s="662"/>
      <c r="AQ16" s="662"/>
      <c r="AR16" s="662"/>
      <c r="AS16" s="662"/>
      <c r="AT16" s="662" t="s">
        <v>916</v>
      </c>
      <c r="AU16" s="662"/>
      <c r="AV16" s="662"/>
      <c r="AW16" s="662"/>
      <c r="AX16" s="662"/>
      <c r="AY16" s="662" t="s">
        <v>917</v>
      </c>
      <c r="AZ16" s="662"/>
      <c r="BA16" s="662"/>
      <c r="BB16" s="662"/>
      <c r="BC16" s="662"/>
      <c r="BD16" s="662" t="s">
        <v>918</v>
      </c>
      <c r="BE16" s="662"/>
      <c r="BF16" s="662"/>
      <c r="BG16" s="662"/>
      <c r="BH16" s="775"/>
    </row>
    <row r="17" ht="15.95" customHeight="1" spans="1:60">
      <c r="A17" s="659">
        <v>11</v>
      </c>
      <c r="B17" s="660"/>
      <c r="C17" s="660"/>
      <c r="D17" s="660"/>
      <c r="E17" s="660"/>
      <c r="F17" s="660">
        <v>12</v>
      </c>
      <c r="G17" s="660"/>
      <c r="H17" s="660"/>
      <c r="I17" s="660"/>
      <c r="J17" s="660"/>
      <c r="K17" s="660">
        <v>13</v>
      </c>
      <c r="L17" s="660"/>
      <c r="M17" s="660"/>
      <c r="N17" s="660"/>
      <c r="O17" s="660"/>
      <c r="P17" s="660">
        <v>14</v>
      </c>
      <c r="Q17" s="660"/>
      <c r="R17" s="660"/>
      <c r="S17" s="660"/>
      <c r="T17" s="660"/>
      <c r="U17" s="660">
        <v>15</v>
      </c>
      <c r="V17" s="660"/>
      <c r="W17" s="660"/>
      <c r="X17" s="660"/>
      <c r="Y17" s="660"/>
      <c r="Z17" s="660">
        <v>16</v>
      </c>
      <c r="AA17" s="660"/>
      <c r="AB17" s="660"/>
      <c r="AC17" s="660"/>
      <c r="AD17" s="660"/>
      <c r="AE17" s="660">
        <v>17</v>
      </c>
      <c r="AF17" s="660"/>
      <c r="AG17" s="660"/>
      <c r="AH17" s="660"/>
      <c r="AI17" s="660"/>
      <c r="AJ17" s="660">
        <v>18</v>
      </c>
      <c r="AK17" s="660"/>
      <c r="AL17" s="660"/>
      <c r="AM17" s="660"/>
      <c r="AN17" s="660"/>
      <c r="AO17" s="660">
        <v>19</v>
      </c>
      <c r="AP17" s="660"/>
      <c r="AQ17" s="660"/>
      <c r="AR17" s="660"/>
      <c r="AS17" s="660"/>
      <c r="AT17" s="660">
        <v>20</v>
      </c>
      <c r="AU17" s="660"/>
      <c r="AV17" s="660"/>
      <c r="AW17" s="660"/>
      <c r="AX17" s="660"/>
      <c r="AY17" s="660">
        <v>21</v>
      </c>
      <c r="AZ17" s="660"/>
      <c r="BA17" s="660"/>
      <c r="BB17" s="660"/>
      <c r="BC17" s="660"/>
      <c r="BD17" s="660">
        <v>22</v>
      </c>
      <c r="BE17" s="660"/>
      <c r="BF17" s="660"/>
      <c r="BG17" s="660"/>
      <c r="BH17" s="776"/>
    </row>
    <row r="18" ht="15.95" customHeight="1" spans="1:60">
      <c r="A18" s="661" t="s">
        <v>919</v>
      </c>
      <c r="B18" s="662"/>
      <c r="C18" s="662"/>
      <c r="D18" s="662"/>
      <c r="E18" s="662"/>
      <c r="F18" s="662" t="s">
        <v>920</v>
      </c>
      <c r="G18" s="662"/>
      <c r="H18" s="662"/>
      <c r="I18" s="662"/>
      <c r="J18" s="662"/>
      <c r="K18" s="662" t="s">
        <v>921</v>
      </c>
      <c r="L18" s="662"/>
      <c r="M18" s="662"/>
      <c r="N18" s="662"/>
      <c r="O18" s="662"/>
      <c r="P18" s="662" t="s">
        <v>922</v>
      </c>
      <c r="Q18" s="662"/>
      <c r="R18" s="662"/>
      <c r="S18" s="662"/>
      <c r="T18" s="662"/>
      <c r="U18" s="662" t="s">
        <v>923</v>
      </c>
      <c r="V18" s="662"/>
      <c r="W18" s="662"/>
      <c r="X18" s="662"/>
      <c r="Y18" s="662"/>
      <c r="Z18" s="662" t="s">
        <v>924</v>
      </c>
      <c r="AA18" s="662"/>
      <c r="AB18" s="662"/>
      <c r="AC18" s="662"/>
      <c r="AD18" s="662"/>
      <c r="AE18" s="662" t="s">
        <v>925</v>
      </c>
      <c r="AF18" s="662"/>
      <c r="AG18" s="662"/>
      <c r="AH18" s="662"/>
      <c r="AI18" s="662"/>
      <c r="AJ18" s="662" t="s">
        <v>926</v>
      </c>
      <c r="AK18" s="662"/>
      <c r="AL18" s="662"/>
      <c r="AM18" s="662"/>
      <c r="AN18" s="662"/>
      <c r="AO18" s="662" t="s">
        <v>927</v>
      </c>
      <c r="AP18" s="662"/>
      <c r="AQ18" s="662"/>
      <c r="AR18" s="662"/>
      <c r="AS18" s="662"/>
      <c r="AT18" s="662" t="s">
        <v>928</v>
      </c>
      <c r="AU18" s="662"/>
      <c r="AV18" s="662"/>
      <c r="AW18" s="662"/>
      <c r="AX18" s="662"/>
      <c r="AY18" s="662" t="s">
        <v>929</v>
      </c>
      <c r="AZ18" s="662"/>
      <c r="BA18" s="662"/>
      <c r="BB18" s="662"/>
      <c r="BC18" s="662"/>
      <c r="BD18" s="662" t="s">
        <v>930</v>
      </c>
      <c r="BE18" s="662"/>
      <c r="BF18" s="662"/>
      <c r="BG18" s="662"/>
      <c r="BH18" s="775"/>
    </row>
    <row r="19" ht="15.95" customHeight="1" spans="1:60">
      <c r="A19" s="661">
        <v>23</v>
      </c>
      <c r="B19" s="662"/>
      <c r="C19" s="662"/>
      <c r="D19" s="662"/>
      <c r="E19" s="662"/>
      <c r="F19" s="662">
        <v>24</v>
      </c>
      <c r="G19" s="662"/>
      <c r="H19" s="662"/>
      <c r="I19" s="662"/>
      <c r="J19" s="662"/>
      <c r="K19" s="662">
        <v>25</v>
      </c>
      <c r="L19" s="662"/>
      <c r="M19" s="662"/>
      <c r="N19" s="662"/>
      <c r="O19" s="662"/>
      <c r="P19" s="662">
        <v>26</v>
      </c>
      <c r="Q19" s="662"/>
      <c r="R19" s="662"/>
      <c r="S19" s="662"/>
      <c r="T19" s="662"/>
      <c r="U19" s="662">
        <v>27</v>
      </c>
      <c r="V19" s="662"/>
      <c r="W19" s="662"/>
      <c r="X19" s="662"/>
      <c r="Y19" s="662"/>
      <c r="Z19" s="662">
        <v>28</v>
      </c>
      <c r="AA19" s="662"/>
      <c r="AB19" s="662"/>
      <c r="AC19" s="662"/>
      <c r="AD19" s="662"/>
      <c r="AE19" s="662">
        <v>29</v>
      </c>
      <c r="AF19" s="662"/>
      <c r="AG19" s="662"/>
      <c r="AH19" s="662"/>
      <c r="AI19" s="662"/>
      <c r="AJ19" s="662">
        <v>30</v>
      </c>
      <c r="AK19" s="662"/>
      <c r="AL19" s="662"/>
      <c r="AM19" s="662"/>
      <c r="AN19" s="662"/>
      <c r="AO19" s="662">
        <v>31</v>
      </c>
      <c r="AP19" s="662"/>
      <c r="AQ19" s="662"/>
      <c r="AR19" s="662"/>
      <c r="AS19" s="662"/>
      <c r="AT19" s="662">
        <v>32</v>
      </c>
      <c r="AU19" s="662"/>
      <c r="AV19" s="662"/>
      <c r="AW19" s="662"/>
      <c r="AX19" s="662"/>
      <c r="AY19" s="662">
        <v>33</v>
      </c>
      <c r="AZ19" s="662"/>
      <c r="BA19" s="662"/>
      <c r="BB19" s="662"/>
      <c r="BC19" s="662"/>
      <c r="BD19" s="662">
        <v>34</v>
      </c>
      <c r="BE19" s="662"/>
      <c r="BF19" s="662"/>
      <c r="BG19" s="662"/>
      <c r="BH19" s="775"/>
    </row>
    <row r="20" ht="15.95" customHeight="1" spans="1:60">
      <c r="A20" s="661" t="s">
        <v>931</v>
      </c>
      <c r="B20" s="662"/>
      <c r="C20" s="662"/>
      <c r="D20" s="662"/>
      <c r="E20" s="662"/>
      <c r="F20" s="662" t="s">
        <v>932</v>
      </c>
      <c r="G20" s="662"/>
      <c r="H20" s="662"/>
      <c r="I20" s="662"/>
      <c r="J20" s="662"/>
      <c r="K20" s="662" t="s">
        <v>933</v>
      </c>
      <c r="L20" s="662"/>
      <c r="M20" s="662"/>
      <c r="N20" s="662"/>
      <c r="O20" s="662"/>
      <c r="P20" s="662" t="s">
        <v>934</v>
      </c>
      <c r="Q20" s="662"/>
      <c r="R20" s="662"/>
      <c r="S20" s="662"/>
      <c r="T20" s="662"/>
      <c r="U20" s="662" t="s">
        <v>935</v>
      </c>
      <c r="V20" s="662"/>
      <c r="W20" s="662"/>
      <c r="X20" s="662"/>
      <c r="Y20" s="662"/>
      <c r="Z20" s="662" t="s">
        <v>936</v>
      </c>
      <c r="AA20" s="662"/>
      <c r="AB20" s="662"/>
      <c r="AC20" s="662"/>
      <c r="AD20" s="662"/>
      <c r="AE20" s="662" t="s">
        <v>937</v>
      </c>
      <c r="AF20" s="662"/>
      <c r="AG20" s="662"/>
      <c r="AH20" s="662"/>
      <c r="AI20" s="662"/>
      <c r="AJ20" s="662" t="s">
        <v>938</v>
      </c>
      <c r="AK20" s="662"/>
      <c r="AL20" s="662"/>
      <c r="AM20" s="662"/>
      <c r="AN20" s="662"/>
      <c r="AO20" s="662" t="s">
        <v>939</v>
      </c>
      <c r="AP20" s="662"/>
      <c r="AQ20" s="662"/>
      <c r="AR20" s="662"/>
      <c r="AS20" s="662"/>
      <c r="AT20" s="662" t="s">
        <v>940</v>
      </c>
      <c r="AU20" s="662"/>
      <c r="AV20" s="662"/>
      <c r="AW20" s="662"/>
      <c r="AX20" s="662"/>
      <c r="AY20" s="662" t="s">
        <v>941</v>
      </c>
      <c r="AZ20" s="662"/>
      <c r="BA20" s="662"/>
      <c r="BB20" s="662"/>
      <c r="BC20" s="662"/>
      <c r="BD20" s="662" t="s">
        <v>942</v>
      </c>
      <c r="BE20" s="662"/>
      <c r="BF20" s="662"/>
      <c r="BG20" s="662"/>
      <c r="BH20" s="775"/>
    </row>
    <row r="21" ht="15.95" customHeight="1" spans="1:60">
      <c r="A21" s="661">
        <v>35</v>
      </c>
      <c r="B21" s="662"/>
      <c r="C21" s="662"/>
      <c r="D21" s="662"/>
      <c r="E21" s="662"/>
      <c r="F21" s="662">
        <v>36</v>
      </c>
      <c r="G21" s="662"/>
      <c r="H21" s="662"/>
      <c r="I21" s="662"/>
      <c r="J21" s="662"/>
      <c r="K21" s="662">
        <v>37</v>
      </c>
      <c r="L21" s="662"/>
      <c r="M21" s="662"/>
      <c r="N21" s="662"/>
      <c r="O21" s="662"/>
      <c r="P21" s="662">
        <v>38</v>
      </c>
      <c r="Q21" s="662"/>
      <c r="R21" s="662"/>
      <c r="S21" s="662"/>
      <c r="T21" s="662"/>
      <c r="U21" s="662">
        <v>39</v>
      </c>
      <c r="V21" s="662"/>
      <c r="W21" s="662"/>
      <c r="X21" s="662"/>
      <c r="Y21" s="662"/>
      <c r="Z21" s="662">
        <v>40</v>
      </c>
      <c r="AA21" s="662"/>
      <c r="AB21" s="662"/>
      <c r="AC21" s="662"/>
      <c r="AD21" s="662"/>
      <c r="AE21" s="662">
        <v>41</v>
      </c>
      <c r="AF21" s="662"/>
      <c r="AG21" s="662"/>
      <c r="AH21" s="662"/>
      <c r="AI21" s="662"/>
      <c r="AJ21" s="662">
        <v>42</v>
      </c>
      <c r="AK21" s="662"/>
      <c r="AL21" s="662"/>
      <c r="AM21" s="662"/>
      <c r="AN21" s="662"/>
      <c r="AO21" s="662">
        <v>43</v>
      </c>
      <c r="AP21" s="662"/>
      <c r="AQ21" s="662"/>
      <c r="AR21" s="662"/>
      <c r="AS21" s="662"/>
      <c r="AT21" s="662">
        <v>44</v>
      </c>
      <c r="AU21" s="662"/>
      <c r="AV21" s="662"/>
      <c r="AW21" s="662"/>
      <c r="AX21" s="662"/>
      <c r="AY21" s="662">
        <v>45</v>
      </c>
      <c r="AZ21" s="662"/>
      <c r="BA21" s="662"/>
      <c r="BB21" s="662"/>
      <c r="BC21" s="662"/>
      <c r="BD21" s="662">
        <v>46</v>
      </c>
      <c r="BE21" s="662"/>
      <c r="BF21" s="662"/>
      <c r="BG21" s="662"/>
      <c r="BH21" s="775"/>
    </row>
    <row r="22" ht="15.95" customHeight="1" spans="1:60">
      <c r="A22" s="661" t="s">
        <v>943</v>
      </c>
      <c r="B22" s="662"/>
      <c r="C22" s="662"/>
      <c r="D22" s="662"/>
      <c r="E22" s="662"/>
      <c r="F22" s="662" t="s">
        <v>944</v>
      </c>
      <c r="G22" s="662"/>
      <c r="H22" s="662"/>
      <c r="I22" s="662"/>
      <c r="J22" s="662"/>
      <c r="K22" s="662" t="s">
        <v>945</v>
      </c>
      <c r="L22" s="662"/>
      <c r="M22" s="662"/>
      <c r="N22" s="662"/>
      <c r="O22" s="662"/>
      <c r="P22" s="662" t="s">
        <v>946</v>
      </c>
      <c r="Q22" s="662"/>
      <c r="R22" s="662"/>
      <c r="S22" s="662"/>
      <c r="T22" s="662"/>
      <c r="U22" s="662" t="s">
        <v>947</v>
      </c>
      <c r="V22" s="662"/>
      <c r="W22" s="662"/>
      <c r="X22" s="662"/>
      <c r="Y22" s="662"/>
      <c r="Z22" s="662" t="s">
        <v>948</v>
      </c>
      <c r="AA22" s="662"/>
      <c r="AB22" s="662"/>
      <c r="AC22" s="662"/>
      <c r="AD22" s="662"/>
      <c r="AE22" s="662" t="s">
        <v>949</v>
      </c>
      <c r="AF22" s="662"/>
      <c r="AG22" s="662"/>
      <c r="AH22" s="662"/>
      <c r="AI22" s="662"/>
      <c r="AJ22" s="662" t="s">
        <v>950</v>
      </c>
      <c r="AK22" s="662"/>
      <c r="AL22" s="662"/>
      <c r="AM22" s="662"/>
      <c r="AN22" s="662"/>
      <c r="AO22" s="662" t="s">
        <v>951</v>
      </c>
      <c r="AP22" s="662"/>
      <c r="AQ22" s="662"/>
      <c r="AR22" s="662"/>
      <c r="AS22" s="662"/>
      <c r="AT22" s="662" t="s">
        <v>952</v>
      </c>
      <c r="AU22" s="662"/>
      <c r="AV22" s="662"/>
      <c r="AW22" s="662"/>
      <c r="AX22" s="662"/>
      <c r="AY22" s="662" t="s">
        <v>953</v>
      </c>
      <c r="AZ22" s="662"/>
      <c r="BA22" s="662"/>
      <c r="BB22" s="662"/>
      <c r="BC22" s="662"/>
      <c r="BD22" s="662" t="s">
        <v>954</v>
      </c>
      <c r="BE22" s="662"/>
      <c r="BF22" s="662"/>
      <c r="BG22" s="662"/>
      <c r="BH22" s="775"/>
    </row>
    <row r="23" ht="15.95" customHeight="1" spans="1:60">
      <c r="A23" s="661">
        <v>47</v>
      </c>
      <c r="B23" s="662"/>
      <c r="C23" s="662"/>
      <c r="D23" s="662"/>
      <c r="E23" s="662"/>
      <c r="F23" s="662">
        <v>48</v>
      </c>
      <c r="G23" s="662"/>
      <c r="H23" s="662"/>
      <c r="I23" s="662"/>
      <c r="J23" s="662"/>
      <c r="K23" s="662">
        <v>49</v>
      </c>
      <c r="L23" s="662"/>
      <c r="M23" s="662"/>
      <c r="N23" s="662"/>
      <c r="O23" s="662"/>
      <c r="P23" s="662">
        <v>50</v>
      </c>
      <c r="Q23" s="662"/>
      <c r="R23" s="662"/>
      <c r="S23" s="662"/>
      <c r="T23" s="662"/>
      <c r="U23" s="662">
        <v>51</v>
      </c>
      <c r="V23" s="662"/>
      <c r="W23" s="662"/>
      <c r="X23" s="662"/>
      <c r="Y23" s="662"/>
      <c r="Z23" s="662">
        <v>52</v>
      </c>
      <c r="AA23" s="662"/>
      <c r="AB23" s="662"/>
      <c r="AC23" s="662"/>
      <c r="AD23" s="662"/>
      <c r="AE23" s="662">
        <v>53</v>
      </c>
      <c r="AF23" s="662"/>
      <c r="AG23" s="662"/>
      <c r="AH23" s="662"/>
      <c r="AI23" s="662"/>
      <c r="AJ23" s="662">
        <v>54</v>
      </c>
      <c r="AK23" s="662"/>
      <c r="AL23" s="662"/>
      <c r="AM23" s="662"/>
      <c r="AN23" s="662"/>
      <c r="AO23" s="662">
        <v>55</v>
      </c>
      <c r="AP23" s="662"/>
      <c r="AQ23" s="662"/>
      <c r="AR23" s="662"/>
      <c r="AS23" s="662"/>
      <c r="AT23" s="662">
        <v>56</v>
      </c>
      <c r="AU23" s="662"/>
      <c r="AV23" s="662"/>
      <c r="AW23" s="662"/>
      <c r="AX23" s="662"/>
      <c r="AY23" s="662">
        <v>57</v>
      </c>
      <c r="AZ23" s="662"/>
      <c r="BA23" s="662"/>
      <c r="BB23" s="662"/>
      <c r="BC23" s="662"/>
      <c r="BD23" s="662">
        <v>58</v>
      </c>
      <c r="BE23" s="662"/>
      <c r="BF23" s="662"/>
      <c r="BG23" s="662"/>
      <c r="BH23" s="775"/>
    </row>
    <row r="24" ht="15.95" customHeight="1" spans="1:60">
      <c r="A24" s="661" t="s">
        <v>955</v>
      </c>
      <c r="B24" s="662"/>
      <c r="C24" s="662"/>
      <c r="D24" s="662"/>
      <c r="E24" s="662"/>
      <c r="F24" s="662" t="s">
        <v>956</v>
      </c>
      <c r="G24" s="662"/>
      <c r="H24" s="662"/>
      <c r="I24" s="662"/>
      <c r="J24" s="662"/>
      <c r="K24" s="662" t="s">
        <v>957</v>
      </c>
      <c r="L24" s="662"/>
      <c r="M24" s="662"/>
      <c r="N24" s="662"/>
      <c r="O24" s="662"/>
      <c r="P24" s="662" t="s">
        <v>958</v>
      </c>
      <c r="Q24" s="662"/>
      <c r="R24" s="662"/>
      <c r="S24" s="662"/>
      <c r="T24" s="662"/>
      <c r="U24" s="662" t="s">
        <v>959</v>
      </c>
      <c r="V24" s="662"/>
      <c r="W24" s="662"/>
      <c r="X24" s="662"/>
      <c r="Y24" s="662"/>
      <c r="Z24" s="662" t="s">
        <v>960</v>
      </c>
      <c r="AA24" s="662"/>
      <c r="AB24" s="662"/>
      <c r="AC24" s="662"/>
      <c r="AD24" s="662"/>
      <c r="AE24" s="662" t="s">
        <v>961</v>
      </c>
      <c r="AF24" s="662"/>
      <c r="AG24" s="662"/>
      <c r="AH24" s="662"/>
      <c r="AI24" s="662"/>
      <c r="AJ24" s="662" t="s">
        <v>962</v>
      </c>
      <c r="AK24" s="662"/>
      <c r="AL24" s="662"/>
      <c r="AM24" s="662"/>
      <c r="AN24" s="662"/>
      <c r="AO24" s="662" t="s">
        <v>963</v>
      </c>
      <c r="AP24" s="662"/>
      <c r="AQ24" s="662"/>
      <c r="AR24" s="662"/>
      <c r="AS24" s="662"/>
      <c r="AT24" s="662" t="s">
        <v>964</v>
      </c>
      <c r="AU24" s="662"/>
      <c r="AV24" s="662"/>
      <c r="AW24" s="662"/>
      <c r="AX24" s="662"/>
      <c r="AY24" s="662" t="s">
        <v>965</v>
      </c>
      <c r="AZ24" s="662"/>
      <c r="BA24" s="662"/>
      <c r="BB24" s="662"/>
      <c r="BC24" s="662"/>
      <c r="BD24" s="662" t="s">
        <v>966</v>
      </c>
      <c r="BE24" s="662"/>
      <c r="BF24" s="662"/>
      <c r="BG24" s="662"/>
      <c r="BH24" s="775"/>
    </row>
    <row r="25" ht="15.95" customHeight="1" spans="1:60">
      <c r="A25" s="661">
        <v>59</v>
      </c>
      <c r="B25" s="662"/>
      <c r="C25" s="662"/>
      <c r="D25" s="662"/>
      <c r="E25" s="662"/>
      <c r="F25" s="662">
        <v>60</v>
      </c>
      <c r="G25" s="662"/>
      <c r="H25" s="662"/>
      <c r="I25" s="662"/>
      <c r="J25" s="662"/>
      <c r="K25" s="662">
        <v>61</v>
      </c>
      <c r="L25" s="662"/>
      <c r="M25" s="662"/>
      <c r="N25" s="662"/>
      <c r="O25" s="662"/>
      <c r="P25" s="662">
        <v>62</v>
      </c>
      <c r="Q25" s="662"/>
      <c r="R25" s="662"/>
      <c r="S25" s="662"/>
      <c r="T25" s="662"/>
      <c r="U25" s="662">
        <v>63</v>
      </c>
      <c r="V25" s="662"/>
      <c r="W25" s="662"/>
      <c r="X25" s="662"/>
      <c r="Y25" s="662"/>
      <c r="Z25" s="662">
        <v>64</v>
      </c>
      <c r="AA25" s="662"/>
      <c r="AB25" s="662"/>
      <c r="AC25" s="662"/>
      <c r="AD25" s="662"/>
      <c r="AE25" s="662">
        <v>65</v>
      </c>
      <c r="AF25" s="662"/>
      <c r="AG25" s="662"/>
      <c r="AH25" s="662"/>
      <c r="AI25" s="662"/>
      <c r="AJ25" s="662">
        <v>66</v>
      </c>
      <c r="AK25" s="662"/>
      <c r="AL25" s="662"/>
      <c r="AM25" s="662"/>
      <c r="AN25" s="662"/>
      <c r="AO25" s="662">
        <v>67</v>
      </c>
      <c r="AP25" s="662"/>
      <c r="AQ25" s="662"/>
      <c r="AR25" s="662"/>
      <c r="AS25" s="662"/>
      <c r="AT25" s="662">
        <v>68</v>
      </c>
      <c r="AU25" s="662"/>
      <c r="AV25" s="662"/>
      <c r="AW25" s="662"/>
      <c r="AX25" s="662"/>
      <c r="AY25" s="662">
        <v>69</v>
      </c>
      <c r="AZ25" s="662"/>
      <c r="BA25" s="662"/>
      <c r="BB25" s="662"/>
      <c r="BC25" s="662"/>
      <c r="BD25" s="662">
        <v>70</v>
      </c>
      <c r="BE25" s="662"/>
      <c r="BF25" s="662"/>
      <c r="BG25" s="662"/>
      <c r="BH25" s="775"/>
    </row>
    <row r="26" ht="15.95" customHeight="1" spans="1:60">
      <c r="A26" s="661" t="s">
        <v>967</v>
      </c>
      <c r="B26" s="662"/>
      <c r="C26" s="662"/>
      <c r="D26" s="662"/>
      <c r="E26" s="662"/>
      <c r="F26" s="662" t="s">
        <v>968</v>
      </c>
      <c r="G26" s="662"/>
      <c r="H26" s="662"/>
      <c r="I26" s="662"/>
      <c r="J26" s="662"/>
      <c r="K26" s="662" t="s">
        <v>969</v>
      </c>
      <c r="L26" s="662"/>
      <c r="M26" s="662"/>
      <c r="N26" s="662"/>
      <c r="O26" s="662"/>
      <c r="P26" s="662" t="s">
        <v>970</v>
      </c>
      <c r="Q26" s="662"/>
      <c r="R26" s="662"/>
      <c r="S26" s="662"/>
      <c r="T26" s="662"/>
      <c r="U26" s="662" t="s">
        <v>971</v>
      </c>
      <c r="V26" s="662"/>
      <c r="W26" s="662"/>
      <c r="X26" s="662"/>
      <c r="Y26" s="662"/>
      <c r="Z26" s="662" t="s">
        <v>972</v>
      </c>
      <c r="AA26" s="662"/>
      <c r="AB26" s="662"/>
      <c r="AC26" s="662"/>
      <c r="AD26" s="662"/>
      <c r="AE26" s="662" t="s">
        <v>973</v>
      </c>
      <c r="AF26" s="662"/>
      <c r="AG26" s="662"/>
      <c r="AH26" s="662"/>
      <c r="AI26" s="662"/>
      <c r="AJ26" s="662" t="s">
        <v>974</v>
      </c>
      <c r="AK26" s="662"/>
      <c r="AL26" s="662"/>
      <c r="AM26" s="662"/>
      <c r="AN26" s="662"/>
      <c r="AO26" s="662" t="s">
        <v>975</v>
      </c>
      <c r="AP26" s="662"/>
      <c r="AQ26" s="662"/>
      <c r="AR26" s="662"/>
      <c r="AS26" s="662"/>
      <c r="AT26" s="662" t="s">
        <v>976</v>
      </c>
      <c r="AU26" s="662"/>
      <c r="AV26" s="662"/>
      <c r="AW26" s="662"/>
      <c r="AX26" s="662"/>
      <c r="AY26" s="662" t="s">
        <v>977</v>
      </c>
      <c r="AZ26" s="662"/>
      <c r="BA26" s="662"/>
      <c r="BB26" s="662"/>
      <c r="BC26" s="662"/>
      <c r="BD26" s="662" t="s">
        <v>978</v>
      </c>
      <c r="BE26" s="662"/>
      <c r="BF26" s="662"/>
      <c r="BG26" s="662"/>
      <c r="BH26" s="775"/>
    </row>
    <row r="27" ht="15.95" customHeight="1" spans="1:60">
      <c r="A27" s="661">
        <v>71</v>
      </c>
      <c r="B27" s="662"/>
      <c r="C27" s="662"/>
      <c r="D27" s="662"/>
      <c r="E27" s="662"/>
      <c r="F27" s="662">
        <v>72</v>
      </c>
      <c r="G27" s="662"/>
      <c r="H27" s="662"/>
      <c r="I27" s="662"/>
      <c r="J27" s="662"/>
      <c r="K27" s="662">
        <v>73</v>
      </c>
      <c r="L27" s="662"/>
      <c r="M27" s="662"/>
      <c r="N27" s="662"/>
      <c r="O27" s="662"/>
      <c r="P27" s="662">
        <v>74</v>
      </c>
      <c r="Q27" s="662"/>
      <c r="R27" s="662"/>
      <c r="S27" s="662"/>
      <c r="T27" s="662"/>
      <c r="U27" s="662">
        <v>75</v>
      </c>
      <c r="V27" s="662"/>
      <c r="W27" s="662"/>
      <c r="X27" s="662"/>
      <c r="Y27" s="662"/>
      <c r="Z27" s="662">
        <v>76</v>
      </c>
      <c r="AA27" s="662"/>
      <c r="AB27" s="662"/>
      <c r="AC27" s="662"/>
      <c r="AD27" s="662"/>
      <c r="AE27" s="662">
        <v>77</v>
      </c>
      <c r="AF27" s="662"/>
      <c r="AG27" s="662"/>
      <c r="AH27" s="662"/>
      <c r="AI27" s="662"/>
      <c r="AJ27" s="662">
        <v>78</v>
      </c>
      <c r="AK27" s="662"/>
      <c r="AL27" s="662"/>
      <c r="AM27" s="662"/>
      <c r="AN27" s="662"/>
      <c r="AO27" s="662">
        <v>79</v>
      </c>
      <c r="AP27" s="662"/>
      <c r="AQ27" s="662"/>
      <c r="AR27" s="662"/>
      <c r="AS27" s="662"/>
      <c r="AT27" s="662">
        <v>80</v>
      </c>
      <c r="AU27" s="662"/>
      <c r="AV27" s="662"/>
      <c r="AW27" s="662"/>
      <c r="AX27" s="662"/>
      <c r="AY27" s="662">
        <v>81</v>
      </c>
      <c r="AZ27" s="662"/>
      <c r="BA27" s="662"/>
      <c r="BB27" s="662"/>
      <c r="BC27" s="662"/>
      <c r="BD27" s="662">
        <v>82</v>
      </c>
      <c r="BE27" s="662"/>
      <c r="BF27" s="662"/>
      <c r="BG27" s="662"/>
      <c r="BH27" s="775"/>
    </row>
    <row r="28" ht="15.95" customHeight="1" spans="1:60">
      <c r="A28" s="661" t="s">
        <v>979</v>
      </c>
      <c r="B28" s="662"/>
      <c r="C28" s="662"/>
      <c r="D28" s="662"/>
      <c r="E28" s="662"/>
      <c r="F28" s="662" t="s">
        <v>980</v>
      </c>
      <c r="G28" s="662"/>
      <c r="H28" s="662"/>
      <c r="I28" s="662"/>
      <c r="J28" s="662"/>
      <c r="K28" s="662" t="s">
        <v>981</v>
      </c>
      <c r="L28" s="662"/>
      <c r="M28" s="662"/>
      <c r="N28" s="662"/>
      <c r="O28" s="662"/>
      <c r="P28" s="662" t="s">
        <v>982</v>
      </c>
      <c r="Q28" s="662"/>
      <c r="R28" s="662"/>
      <c r="S28" s="662"/>
      <c r="T28" s="662"/>
      <c r="U28" s="662" t="s">
        <v>983</v>
      </c>
      <c r="V28" s="662"/>
      <c r="W28" s="662"/>
      <c r="X28" s="662"/>
      <c r="Y28" s="662"/>
      <c r="Z28" s="662" t="s">
        <v>984</v>
      </c>
      <c r="AA28" s="662"/>
      <c r="AB28" s="662"/>
      <c r="AC28" s="662"/>
      <c r="AD28" s="662"/>
      <c r="AE28" s="662" t="s">
        <v>985</v>
      </c>
      <c r="AF28" s="662"/>
      <c r="AG28" s="662"/>
      <c r="AH28" s="662"/>
      <c r="AI28" s="662"/>
      <c r="AJ28" s="662" t="s">
        <v>986</v>
      </c>
      <c r="AK28" s="662"/>
      <c r="AL28" s="662"/>
      <c r="AM28" s="662"/>
      <c r="AN28" s="662"/>
      <c r="AO28" s="662" t="s">
        <v>987</v>
      </c>
      <c r="AP28" s="662"/>
      <c r="AQ28" s="662"/>
      <c r="AR28" s="662"/>
      <c r="AS28" s="662"/>
      <c r="AT28" s="662" t="s">
        <v>988</v>
      </c>
      <c r="AU28" s="662"/>
      <c r="AV28" s="662"/>
      <c r="AW28" s="662"/>
      <c r="AX28" s="662"/>
      <c r="AY28" s="662" t="s">
        <v>989</v>
      </c>
      <c r="AZ28" s="662"/>
      <c r="BA28" s="662"/>
      <c r="BB28" s="662"/>
      <c r="BC28" s="662"/>
      <c r="BD28" s="662" t="s">
        <v>990</v>
      </c>
      <c r="BE28" s="662"/>
      <c r="BF28" s="662"/>
      <c r="BG28" s="662"/>
      <c r="BH28" s="775"/>
    </row>
    <row r="29" ht="15.95" customHeight="1" spans="1:60">
      <c r="A29" s="661">
        <v>83</v>
      </c>
      <c r="B29" s="662"/>
      <c r="C29" s="662"/>
      <c r="D29" s="662"/>
      <c r="E29" s="662"/>
      <c r="F29" s="662">
        <v>84</v>
      </c>
      <c r="G29" s="662"/>
      <c r="H29" s="662"/>
      <c r="I29" s="662"/>
      <c r="J29" s="662"/>
      <c r="K29" s="662">
        <v>85</v>
      </c>
      <c r="L29" s="662"/>
      <c r="M29" s="662"/>
      <c r="N29" s="662"/>
      <c r="O29" s="662"/>
      <c r="P29" s="662">
        <v>86</v>
      </c>
      <c r="Q29" s="662"/>
      <c r="R29" s="662"/>
      <c r="S29" s="662"/>
      <c r="T29" s="662"/>
      <c r="U29" s="662">
        <v>87</v>
      </c>
      <c r="V29" s="662"/>
      <c r="W29" s="662"/>
      <c r="X29" s="662"/>
      <c r="Y29" s="662"/>
      <c r="Z29" s="662">
        <v>88</v>
      </c>
      <c r="AA29" s="662"/>
      <c r="AB29" s="662"/>
      <c r="AC29" s="662"/>
      <c r="AD29" s="662"/>
      <c r="AE29" s="662">
        <v>89</v>
      </c>
      <c r="AF29" s="662"/>
      <c r="AG29" s="662"/>
      <c r="AH29" s="662"/>
      <c r="AI29" s="662"/>
      <c r="AJ29" s="662">
        <v>90</v>
      </c>
      <c r="AK29" s="662"/>
      <c r="AL29" s="662"/>
      <c r="AM29" s="662"/>
      <c r="AN29" s="662"/>
      <c r="AO29" s="662">
        <v>91</v>
      </c>
      <c r="AP29" s="662"/>
      <c r="AQ29" s="662"/>
      <c r="AR29" s="662"/>
      <c r="AS29" s="662"/>
      <c r="AT29" s="662">
        <v>92</v>
      </c>
      <c r="AU29" s="662"/>
      <c r="AV29" s="662"/>
      <c r="AW29" s="662"/>
      <c r="AX29" s="662"/>
      <c r="AY29" s="662">
        <v>93</v>
      </c>
      <c r="AZ29" s="662"/>
      <c r="BA29" s="662"/>
      <c r="BB29" s="662"/>
      <c r="BC29" s="662"/>
      <c r="BD29" s="662">
        <v>94</v>
      </c>
      <c r="BE29" s="662"/>
      <c r="BF29" s="662"/>
      <c r="BG29" s="662"/>
      <c r="BH29" s="775"/>
    </row>
    <row r="30" ht="15.95" customHeight="1" spans="1:60">
      <c r="A30" s="661" t="s">
        <v>991</v>
      </c>
      <c r="B30" s="662"/>
      <c r="C30" s="662"/>
      <c r="D30" s="662"/>
      <c r="E30" s="662"/>
      <c r="F30" s="662" t="s">
        <v>992</v>
      </c>
      <c r="G30" s="662"/>
      <c r="H30" s="662"/>
      <c r="I30" s="662"/>
      <c r="J30" s="662"/>
      <c r="K30" s="662" t="s">
        <v>993</v>
      </c>
      <c r="L30" s="662"/>
      <c r="M30" s="662"/>
      <c r="N30" s="662"/>
      <c r="O30" s="662"/>
      <c r="P30" s="662" t="s">
        <v>994</v>
      </c>
      <c r="Q30" s="662"/>
      <c r="R30" s="662"/>
      <c r="S30" s="662"/>
      <c r="T30" s="662"/>
      <c r="U30" s="662" t="s">
        <v>995</v>
      </c>
      <c r="V30" s="662"/>
      <c r="W30" s="662"/>
      <c r="X30" s="662"/>
      <c r="Y30" s="662"/>
      <c r="Z30" s="662" t="s">
        <v>996</v>
      </c>
      <c r="AA30" s="662"/>
      <c r="AB30" s="662"/>
      <c r="AC30" s="662"/>
      <c r="AD30" s="662"/>
      <c r="AE30" s="662" t="s">
        <v>997</v>
      </c>
      <c r="AF30" s="662"/>
      <c r="AG30" s="662"/>
      <c r="AH30" s="662"/>
      <c r="AI30" s="662"/>
      <c r="AJ30" s="662" t="s">
        <v>998</v>
      </c>
      <c r="AK30" s="662"/>
      <c r="AL30" s="662"/>
      <c r="AM30" s="662"/>
      <c r="AN30" s="662"/>
      <c r="AO30" s="662" t="s">
        <v>999</v>
      </c>
      <c r="AP30" s="662"/>
      <c r="AQ30" s="662"/>
      <c r="AR30" s="662"/>
      <c r="AS30" s="662"/>
      <c r="AT30" s="662" t="s">
        <v>1000</v>
      </c>
      <c r="AU30" s="662"/>
      <c r="AV30" s="662"/>
      <c r="AW30" s="662"/>
      <c r="AX30" s="662"/>
      <c r="AY30" s="662" t="s">
        <v>1001</v>
      </c>
      <c r="AZ30" s="662"/>
      <c r="BA30" s="662"/>
      <c r="BB30" s="662"/>
      <c r="BC30" s="662"/>
      <c r="BD30" s="662" t="s">
        <v>1002</v>
      </c>
      <c r="BE30" s="662"/>
      <c r="BF30" s="662"/>
      <c r="BG30" s="662"/>
      <c r="BH30" s="775"/>
    </row>
    <row r="31" ht="15.95" customHeight="1" spans="1:60">
      <c r="A31" s="661">
        <v>95</v>
      </c>
      <c r="B31" s="662"/>
      <c r="C31" s="662"/>
      <c r="D31" s="662"/>
      <c r="E31" s="662"/>
      <c r="F31" s="662">
        <v>96</v>
      </c>
      <c r="G31" s="662"/>
      <c r="H31" s="662"/>
      <c r="I31" s="662"/>
      <c r="J31" s="662"/>
      <c r="K31" s="662">
        <v>97</v>
      </c>
      <c r="L31" s="662"/>
      <c r="M31" s="662"/>
      <c r="N31" s="662"/>
      <c r="O31" s="662"/>
      <c r="P31" s="662">
        <v>98</v>
      </c>
      <c r="Q31" s="662"/>
      <c r="R31" s="662"/>
      <c r="S31" s="662"/>
      <c r="T31" s="662"/>
      <c r="U31" s="662">
        <v>99</v>
      </c>
      <c r="V31" s="662"/>
      <c r="W31" s="662"/>
      <c r="X31" s="662"/>
      <c r="Y31" s="662"/>
      <c r="Z31" s="662">
        <v>100</v>
      </c>
      <c r="AA31" s="662"/>
      <c r="AB31" s="662"/>
      <c r="AC31" s="662"/>
      <c r="AD31" s="662"/>
      <c r="AE31" s="662">
        <v>101</v>
      </c>
      <c r="AF31" s="662"/>
      <c r="AG31" s="662"/>
      <c r="AH31" s="662"/>
      <c r="AI31" s="662"/>
      <c r="AJ31" s="662">
        <v>102</v>
      </c>
      <c r="AK31" s="662"/>
      <c r="AL31" s="662"/>
      <c r="AM31" s="662"/>
      <c r="AN31" s="662"/>
      <c r="AO31" s="662">
        <v>103</v>
      </c>
      <c r="AP31" s="662"/>
      <c r="AQ31" s="662"/>
      <c r="AR31" s="662"/>
      <c r="AS31" s="662"/>
      <c r="AT31" s="662">
        <v>104</v>
      </c>
      <c r="AU31" s="662"/>
      <c r="AV31" s="662"/>
      <c r="AW31" s="662"/>
      <c r="AX31" s="662"/>
      <c r="AY31" s="662">
        <v>105</v>
      </c>
      <c r="AZ31" s="662"/>
      <c r="BA31" s="662"/>
      <c r="BB31" s="662"/>
      <c r="BC31" s="662"/>
      <c r="BD31" s="662">
        <v>106</v>
      </c>
      <c r="BE31" s="662"/>
      <c r="BF31" s="662"/>
      <c r="BG31" s="662"/>
      <c r="BH31" s="775"/>
    </row>
    <row r="32" ht="15.95" customHeight="1" spans="1:60">
      <c r="A32" s="661" t="s">
        <v>1003</v>
      </c>
      <c r="B32" s="662"/>
      <c r="C32" s="662"/>
      <c r="D32" s="662"/>
      <c r="E32" s="662"/>
      <c r="F32" s="662" t="s">
        <v>1004</v>
      </c>
      <c r="G32" s="662"/>
      <c r="H32" s="662"/>
      <c r="I32" s="662"/>
      <c r="J32" s="662"/>
      <c r="K32" s="662" t="s">
        <v>1005</v>
      </c>
      <c r="L32" s="662"/>
      <c r="M32" s="662"/>
      <c r="N32" s="662"/>
      <c r="O32" s="662"/>
      <c r="P32" s="662" t="s">
        <v>1006</v>
      </c>
      <c r="Q32" s="662"/>
      <c r="R32" s="662"/>
      <c r="S32" s="662"/>
      <c r="T32" s="662"/>
      <c r="U32" s="662" t="s">
        <v>1007</v>
      </c>
      <c r="V32" s="662"/>
      <c r="W32" s="662"/>
      <c r="X32" s="662"/>
      <c r="Y32" s="662"/>
      <c r="Z32" s="662" t="s">
        <v>1008</v>
      </c>
      <c r="AA32" s="662"/>
      <c r="AB32" s="662"/>
      <c r="AC32" s="662"/>
      <c r="AD32" s="662"/>
      <c r="AE32" s="662" t="s">
        <v>1009</v>
      </c>
      <c r="AF32" s="662"/>
      <c r="AG32" s="662"/>
      <c r="AH32" s="662"/>
      <c r="AI32" s="662"/>
      <c r="AJ32" s="662" t="s">
        <v>1010</v>
      </c>
      <c r="AK32" s="662"/>
      <c r="AL32" s="662"/>
      <c r="AM32" s="662"/>
      <c r="AN32" s="662"/>
      <c r="AO32" s="662" t="s">
        <v>1011</v>
      </c>
      <c r="AP32" s="662"/>
      <c r="AQ32" s="662"/>
      <c r="AR32" s="662"/>
      <c r="AS32" s="662"/>
      <c r="AT32" s="662" t="s">
        <v>1012</v>
      </c>
      <c r="AU32" s="662"/>
      <c r="AV32" s="662"/>
      <c r="AW32" s="662"/>
      <c r="AX32" s="662"/>
      <c r="AY32" s="662" t="s">
        <v>1013</v>
      </c>
      <c r="AZ32" s="662"/>
      <c r="BA32" s="662"/>
      <c r="BB32" s="662"/>
      <c r="BC32" s="662"/>
      <c r="BD32" s="662" t="s">
        <v>1014</v>
      </c>
      <c r="BE32" s="662"/>
      <c r="BF32" s="662"/>
      <c r="BG32" s="662"/>
      <c r="BH32" s="775"/>
    </row>
    <row r="33" ht="24" customHeight="1" spans="1:60">
      <c r="A33" s="663" t="str">
        <f>IF(目录!G2="中文",对照!Z35,IF(目录!G2="English",对照!AA35,对照!Z35))</f>
        <v>模温控制</v>
      </c>
      <c r="B33" s="664"/>
      <c r="C33" s="664"/>
      <c r="D33" s="664"/>
      <c r="E33" s="664"/>
      <c r="F33" s="664"/>
      <c r="G33" s="664"/>
      <c r="H33" s="664"/>
      <c r="I33" s="664"/>
      <c r="J33" s="664"/>
      <c r="K33" s="664"/>
      <c r="L33" s="664"/>
      <c r="M33" s="664"/>
      <c r="N33" s="664"/>
      <c r="O33" s="664"/>
      <c r="P33" s="664"/>
      <c r="Q33" s="664"/>
      <c r="R33" s="664"/>
      <c r="S33" s="664"/>
      <c r="T33" s="664"/>
      <c r="U33" s="664"/>
      <c r="V33" s="664"/>
      <c r="W33" s="664"/>
      <c r="X33" s="664"/>
      <c r="Y33" s="664"/>
      <c r="Z33" s="664"/>
      <c r="AA33" s="664"/>
      <c r="AB33" s="664"/>
      <c r="AC33" s="664"/>
      <c r="AD33" s="664"/>
      <c r="AE33" s="664"/>
      <c r="AF33" s="664"/>
      <c r="AG33" s="664"/>
      <c r="AH33" s="664"/>
      <c r="AI33" s="664"/>
      <c r="AJ33" s="664"/>
      <c r="AK33" s="664"/>
      <c r="AL33" s="664"/>
      <c r="AM33" s="664"/>
      <c r="AN33" s="664"/>
      <c r="AO33" s="664"/>
      <c r="AP33" s="664"/>
      <c r="AQ33" s="664"/>
      <c r="AR33" s="664"/>
      <c r="AS33" s="664"/>
      <c r="AT33" s="664"/>
      <c r="AU33" s="664"/>
      <c r="AV33" s="664"/>
      <c r="AW33" s="664"/>
      <c r="AX33" s="664"/>
      <c r="AY33" s="664"/>
      <c r="AZ33" s="664"/>
      <c r="BA33" s="664"/>
      <c r="BB33" s="664"/>
      <c r="BC33" s="664"/>
      <c r="BD33" s="664"/>
      <c r="BE33" s="664"/>
      <c r="BF33" s="664"/>
      <c r="BG33" s="664"/>
      <c r="BH33" s="777"/>
    </row>
    <row r="34" ht="15.95" customHeight="1" spans="1:60">
      <c r="A34" s="655" t="str">
        <f>IF(目录!G2="中文",对照!Z36,IF(目录!G2="English",对照!AA36,对照!Z36))</f>
        <v>加热方式：</v>
      </c>
      <c r="B34" s="656"/>
      <c r="C34" s="656"/>
      <c r="D34" s="656"/>
      <c r="E34" s="656"/>
      <c r="F34" s="656"/>
      <c r="G34" s="656"/>
      <c r="H34" s="656"/>
      <c r="I34" s="656"/>
      <c r="J34" s="656"/>
      <c r="K34" s="656"/>
      <c r="L34" s="656"/>
      <c r="M34" s="656"/>
      <c r="N34" s="656"/>
      <c r="O34" s="707"/>
      <c r="P34" s="658" t="str">
        <f>IF(目录!G2="中文",对照!Z28,IF(目录!G2="English",对照!AA28,对照!Z28))</f>
        <v>单位</v>
      </c>
      <c r="Q34" s="658"/>
      <c r="R34" s="658"/>
      <c r="S34" s="658"/>
      <c r="T34" s="658"/>
      <c r="U34" s="732" t="s">
        <v>896</v>
      </c>
      <c r="V34" s="732"/>
      <c r="W34" s="732"/>
      <c r="X34" s="732"/>
      <c r="Y34" s="732"/>
      <c r="Z34" s="741"/>
      <c r="AA34" s="742"/>
      <c r="AB34" s="742"/>
      <c r="AC34" s="742"/>
      <c r="AD34" s="742"/>
      <c r="AE34" s="742"/>
      <c r="AF34" s="742"/>
      <c r="AG34" s="742"/>
      <c r="AH34" s="742"/>
      <c r="AI34" s="742"/>
      <c r="AJ34" s="742"/>
      <c r="AK34" s="742"/>
      <c r="AL34" s="742"/>
      <c r="AM34" s="742"/>
      <c r="AN34" s="742"/>
      <c r="AO34" s="742"/>
      <c r="AP34" s="742"/>
      <c r="AQ34" s="742"/>
      <c r="AR34" s="742"/>
      <c r="AS34" s="742"/>
      <c r="AT34" s="742"/>
      <c r="AU34" s="742"/>
      <c r="AV34" s="742"/>
      <c r="AW34" s="742"/>
      <c r="AX34" s="742"/>
      <c r="AY34" s="742"/>
      <c r="AZ34" s="742"/>
      <c r="BA34" s="742"/>
      <c r="BB34" s="742"/>
      <c r="BC34" s="742"/>
      <c r="BD34" s="742"/>
      <c r="BE34" s="742"/>
      <c r="BF34" s="742"/>
      <c r="BG34" s="742"/>
      <c r="BH34" s="764"/>
    </row>
    <row r="35" ht="15.95" customHeight="1" spans="1:60">
      <c r="A35" s="665"/>
      <c r="B35" s="666"/>
      <c r="C35" s="666"/>
      <c r="D35" s="666"/>
      <c r="E35" s="666"/>
      <c r="F35" s="666"/>
      <c r="G35" s="666"/>
      <c r="H35" s="666"/>
      <c r="I35" s="666"/>
      <c r="J35" s="666"/>
      <c r="K35" s="666"/>
      <c r="L35" s="666"/>
      <c r="M35" s="666"/>
      <c r="N35" s="666"/>
      <c r="O35" s="708"/>
      <c r="P35" s="709"/>
      <c r="Q35" s="733"/>
      <c r="R35" s="733"/>
      <c r="S35" s="733"/>
      <c r="T35" s="733"/>
      <c r="U35" s="733"/>
      <c r="V35" s="733"/>
      <c r="W35" s="733"/>
      <c r="X35" s="733"/>
      <c r="Y35" s="733"/>
      <c r="Z35" s="733"/>
      <c r="AA35" s="733"/>
      <c r="AB35" s="733"/>
      <c r="AC35" s="733"/>
      <c r="AD35" s="733"/>
      <c r="AE35" s="733"/>
      <c r="AF35" s="733"/>
      <c r="AG35" s="733"/>
      <c r="AH35" s="733"/>
      <c r="AI35" s="733"/>
      <c r="AJ35" s="733"/>
      <c r="AK35" s="733"/>
      <c r="AL35" s="733"/>
      <c r="AM35" s="733"/>
      <c r="AN35" s="733"/>
      <c r="AO35" s="733"/>
      <c r="AP35" s="733"/>
      <c r="AQ35" s="733"/>
      <c r="AR35" s="733"/>
      <c r="AS35" s="733"/>
      <c r="AT35" s="733"/>
      <c r="AU35" s="733"/>
      <c r="AV35" s="733"/>
      <c r="AW35" s="733"/>
      <c r="AX35" s="733"/>
      <c r="AY35" s="733"/>
      <c r="AZ35" s="733"/>
      <c r="BA35" s="733"/>
      <c r="BB35" s="733"/>
      <c r="BC35" s="733"/>
      <c r="BD35" s="733"/>
      <c r="BE35" s="733"/>
      <c r="BF35" s="733"/>
      <c r="BG35" s="733"/>
      <c r="BH35" s="778"/>
    </row>
    <row r="36" ht="15.95" customHeight="1" spans="1:60">
      <c r="A36" s="661" t="str">
        <f>IF(目录!G2="中文",对照!Z37,IF(目录!G2="English",对照!AA37,对照!Z37))</f>
        <v>水温</v>
      </c>
      <c r="B36" s="662"/>
      <c r="C36" s="662"/>
      <c r="D36" s="662"/>
      <c r="E36" s="662"/>
      <c r="F36" s="662"/>
      <c r="G36" s="667"/>
      <c r="H36" s="668"/>
      <c r="I36" s="668"/>
      <c r="J36" s="668"/>
      <c r="K36" s="668"/>
      <c r="L36" s="668"/>
      <c r="M36" s="668"/>
      <c r="N36" s="668"/>
      <c r="O36" s="710"/>
      <c r="P36" s="711"/>
      <c r="Q36" s="734"/>
      <c r="R36" s="734"/>
      <c r="S36" s="734"/>
      <c r="T36" s="734"/>
      <c r="U36" s="734"/>
      <c r="V36" s="734"/>
      <c r="W36" s="734"/>
      <c r="X36" s="734"/>
      <c r="Y36" s="734"/>
      <c r="Z36" s="734"/>
      <c r="AA36" s="734"/>
      <c r="AB36" s="734"/>
      <c r="AC36" s="734"/>
      <c r="AD36" s="745" t="str">
        <f>IF(目录!G2="中文",对照!Z40,IF(目录!G2="English",对照!AA40,对照!Z40))</f>
        <v>1.实测</v>
      </c>
      <c r="AE36" s="745"/>
      <c r="AF36" s="745"/>
      <c r="AG36" s="746"/>
      <c r="AH36" s="752"/>
      <c r="AI36" s="752"/>
      <c r="AJ36" s="752"/>
      <c r="AK36" s="745" t="s">
        <v>896</v>
      </c>
      <c r="AL36" s="745"/>
      <c r="AM36" s="734"/>
      <c r="AN36" s="734"/>
      <c r="AO36" s="734"/>
      <c r="AP36" s="734"/>
      <c r="AQ36" s="734"/>
      <c r="AR36" s="734"/>
      <c r="AS36" s="734"/>
      <c r="AT36" s="734"/>
      <c r="AU36" s="734"/>
      <c r="AV36" s="746" t="str">
        <f>IF(目录!G2="中文",对照!Z40,IF(目录!G2="English",对照!AA40,对照!Z40))</f>
        <v>1.实测</v>
      </c>
      <c r="AW36" s="746"/>
      <c r="AX36" s="746"/>
      <c r="AY36" s="746"/>
      <c r="AZ36" s="752"/>
      <c r="BA36" s="752"/>
      <c r="BB36" s="752"/>
      <c r="BC36" s="745" t="s">
        <v>896</v>
      </c>
      <c r="BD36" s="745"/>
      <c r="BE36" s="745"/>
      <c r="BF36" s="745"/>
      <c r="BG36" s="745"/>
      <c r="BH36" s="779"/>
    </row>
    <row r="37" ht="15.95" customHeight="1" spans="1:60">
      <c r="A37" s="669"/>
      <c r="B37" s="670"/>
      <c r="C37" s="670"/>
      <c r="D37" s="670"/>
      <c r="E37" s="670"/>
      <c r="F37" s="670"/>
      <c r="G37" s="670"/>
      <c r="H37" s="670"/>
      <c r="I37" s="670"/>
      <c r="J37" s="670"/>
      <c r="K37" s="670"/>
      <c r="L37" s="670"/>
      <c r="M37" s="670"/>
      <c r="N37" s="670"/>
      <c r="O37" s="688"/>
      <c r="P37" s="711"/>
      <c r="Q37" s="734"/>
      <c r="R37" s="734"/>
      <c r="S37" s="734"/>
      <c r="T37" s="734"/>
      <c r="U37" s="734"/>
      <c r="V37" s="734"/>
      <c r="W37" s="734"/>
      <c r="X37" s="734"/>
      <c r="Y37" s="734"/>
      <c r="Z37" s="734"/>
      <c r="AA37" s="734"/>
      <c r="AB37" s="734"/>
      <c r="AC37" s="734"/>
      <c r="AD37" s="734"/>
      <c r="AE37" s="734"/>
      <c r="AF37" s="734"/>
      <c r="AG37" s="734"/>
      <c r="AH37" s="734"/>
      <c r="AI37" s="734"/>
      <c r="AJ37" s="734"/>
      <c r="AK37" s="734"/>
      <c r="AL37" s="734"/>
      <c r="AM37" s="734"/>
      <c r="AN37" s="734"/>
      <c r="AO37" s="734"/>
      <c r="AP37" s="734"/>
      <c r="AQ37" s="734"/>
      <c r="AR37" s="734"/>
      <c r="AS37" s="734"/>
      <c r="AT37" s="734"/>
      <c r="AU37" s="734"/>
      <c r="AV37" s="734"/>
      <c r="AW37" s="734"/>
      <c r="AX37" s="734"/>
      <c r="AY37" s="734"/>
      <c r="AZ37" s="734"/>
      <c r="BA37" s="734"/>
      <c r="BB37" s="734"/>
      <c r="BC37" s="734"/>
      <c r="BD37" s="734"/>
      <c r="BE37" s="745"/>
      <c r="BF37" s="745"/>
      <c r="BG37" s="780"/>
      <c r="BH37" s="781"/>
    </row>
    <row r="38" ht="15.95" customHeight="1" spans="1:60">
      <c r="A38" s="661" t="str">
        <f>IF(目录!G2="中文",对照!Z38,IF(目录!G2="English",对照!AA38,对照!Z38))</f>
        <v>油温</v>
      </c>
      <c r="B38" s="662"/>
      <c r="C38" s="662"/>
      <c r="D38" s="662"/>
      <c r="E38" s="662"/>
      <c r="F38" s="662"/>
      <c r="G38" s="667"/>
      <c r="H38" s="668"/>
      <c r="I38" s="668"/>
      <c r="J38" s="668"/>
      <c r="K38" s="668"/>
      <c r="L38" s="668"/>
      <c r="M38" s="668"/>
      <c r="N38" s="668"/>
      <c r="O38" s="710"/>
      <c r="P38" s="711"/>
      <c r="Q38" s="734"/>
      <c r="R38" s="734"/>
      <c r="S38" s="734"/>
      <c r="T38" s="734"/>
      <c r="U38" s="734"/>
      <c r="V38" s="734"/>
      <c r="W38" s="734"/>
      <c r="X38" s="734"/>
      <c r="Y38" s="734"/>
      <c r="Z38" s="734"/>
      <c r="AA38" s="734"/>
      <c r="AB38" s="734"/>
      <c r="AC38" s="734"/>
      <c r="AD38" s="746" t="str">
        <f>IF(目录!G2="中文",对照!Z41,IF(目录!G2="English",对照!AA41,对照!Z41))</f>
        <v>2.实测</v>
      </c>
      <c r="AE38" s="746"/>
      <c r="AF38" s="746"/>
      <c r="AG38" s="746"/>
      <c r="AH38" s="752"/>
      <c r="AI38" s="752"/>
      <c r="AJ38" s="752"/>
      <c r="AK38" s="745" t="s">
        <v>896</v>
      </c>
      <c r="AL38" s="745"/>
      <c r="AM38" s="734"/>
      <c r="AN38" s="734"/>
      <c r="AO38" s="734"/>
      <c r="AP38" s="734"/>
      <c r="AQ38" s="734"/>
      <c r="AR38" s="734"/>
      <c r="AS38" s="734"/>
      <c r="AT38" s="734"/>
      <c r="AU38" s="734"/>
      <c r="AV38" s="746" t="str">
        <f>IF(目录!G2="中文",对照!Z41,IF(目录!G2="English",对照!AA41,对照!Z41))</f>
        <v>2.实测</v>
      </c>
      <c r="AW38" s="746"/>
      <c r="AX38" s="746"/>
      <c r="AY38" s="746"/>
      <c r="AZ38" s="752"/>
      <c r="BA38" s="752"/>
      <c r="BB38" s="752"/>
      <c r="BC38" s="745" t="s">
        <v>896</v>
      </c>
      <c r="BD38" s="745"/>
      <c r="BE38" s="745"/>
      <c r="BF38" s="745"/>
      <c r="BG38" s="745"/>
      <c r="BH38" s="779"/>
    </row>
    <row r="39" ht="15.95" customHeight="1" spans="1:60">
      <c r="A39" s="669"/>
      <c r="B39" s="670"/>
      <c r="C39" s="670"/>
      <c r="D39" s="670"/>
      <c r="E39" s="670"/>
      <c r="F39" s="670"/>
      <c r="G39" s="670"/>
      <c r="H39" s="670"/>
      <c r="I39" s="670"/>
      <c r="J39" s="670"/>
      <c r="K39" s="670"/>
      <c r="L39" s="670"/>
      <c r="M39" s="670"/>
      <c r="N39" s="670"/>
      <c r="O39" s="688"/>
      <c r="P39" s="711"/>
      <c r="Q39" s="734"/>
      <c r="R39" s="734"/>
      <c r="S39" s="734"/>
      <c r="T39" s="734"/>
      <c r="U39" s="734"/>
      <c r="V39" s="734"/>
      <c r="W39" s="734"/>
      <c r="X39" s="734"/>
      <c r="Y39" s="734"/>
      <c r="Z39" s="734"/>
      <c r="AA39" s="734"/>
      <c r="AB39" s="734"/>
      <c r="AC39" s="734"/>
      <c r="AD39" s="734"/>
      <c r="AE39" s="734"/>
      <c r="AF39" s="734"/>
      <c r="AG39" s="734"/>
      <c r="AH39" s="734"/>
      <c r="AI39" s="734"/>
      <c r="AJ39" s="734"/>
      <c r="AK39" s="734"/>
      <c r="AL39" s="734"/>
      <c r="AM39" s="734"/>
      <c r="AN39" s="734"/>
      <c r="AO39" s="734"/>
      <c r="AP39" s="734"/>
      <c r="AQ39" s="734"/>
      <c r="AR39" s="734"/>
      <c r="AS39" s="734"/>
      <c r="AT39" s="734"/>
      <c r="AU39" s="734"/>
      <c r="AV39" s="734"/>
      <c r="AW39" s="734"/>
      <c r="AX39" s="734"/>
      <c r="AY39" s="734"/>
      <c r="AZ39" s="734"/>
      <c r="BA39" s="734"/>
      <c r="BB39" s="734"/>
      <c r="BC39" s="734"/>
      <c r="BD39" s="734"/>
      <c r="BE39" s="745"/>
      <c r="BF39" s="745"/>
      <c r="BG39" s="780"/>
      <c r="BH39" s="781"/>
    </row>
    <row r="40" ht="15.95" customHeight="1" spans="1:60">
      <c r="A40" s="661" t="str">
        <f>IF(目录!G2="中文",对照!Z39,IF(目录!G2="English",对照!AA39,对照!Z39))</f>
        <v>电加热</v>
      </c>
      <c r="B40" s="662"/>
      <c r="C40" s="662"/>
      <c r="D40" s="662"/>
      <c r="E40" s="662"/>
      <c r="F40" s="662"/>
      <c r="G40" s="667"/>
      <c r="H40" s="668"/>
      <c r="I40" s="668"/>
      <c r="J40" s="668"/>
      <c r="K40" s="668"/>
      <c r="L40" s="668"/>
      <c r="M40" s="668"/>
      <c r="N40" s="668"/>
      <c r="O40" s="710"/>
      <c r="P40" s="711"/>
      <c r="Q40" s="734"/>
      <c r="R40" s="734"/>
      <c r="S40" s="734"/>
      <c r="T40" s="734"/>
      <c r="U40" s="734"/>
      <c r="V40" s="734"/>
      <c r="W40" s="734"/>
      <c r="X40" s="734"/>
      <c r="Y40" s="734"/>
      <c r="Z40" s="734"/>
      <c r="AA40" s="734"/>
      <c r="AB40" s="734"/>
      <c r="AC40" s="734"/>
      <c r="AD40" s="745" t="str">
        <f>IF(目录!G2="中文",对照!Z42,IF(目录!G2="English",对照!AA42,对照!Z42))</f>
        <v>3.实测</v>
      </c>
      <c r="AE40" s="745"/>
      <c r="AF40" s="745"/>
      <c r="AG40" s="746"/>
      <c r="AH40" s="752"/>
      <c r="AI40" s="752"/>
      <c r="AJ40" s="752"/>
      <c r="AK40" s="745" t="s">
        <v>896</v>
      </c>
      <c r="AL40" s="745"/>
      <c r="AM40" s="734"/>
      <c r="AN40" s="734"/>
      <c r="AO40" s="734"/>
      <c r="AP40" s="734"/>
      <c r="AQ40" s="734"/>
      <c r="AR40" s="734"/>
      <c r="AS40" s="734"/>
      <c r="AT40" s="734"/>
      <c r="AU40" s="734"/>
      <c r="AV40" s="746" t="str">
        <f>IF(目录!G2="中文",对照!Z42,IF(目录!G2="English",对照!AA42,对照!Z42))</f>
        <v>3.实测</v>
      </c>
      <c r="AW40" s="746"/>
      <c r="AX40" s="746"/>
      <c r="AY40" s="746"/>
      <c r="AZ40" s="752"/>
      <c r="BA40" s="752"/>
      <c r="BB40" s="752"/>
      <c r="BC40" s="745" t="s">
        <v>896</v>
      </c>
      <c r="BD40" s="745"/>
      <c r="BE40" s="745"/>
      <c r="BF40" s="745"/>
      <c r="BG40" s="745"/>
      <c r="BH40" s="779"/>
    </row>
    <row r="41" ht="15.95" customHeight="1" spans="1:60">
      <c r="A41" s="671"/>
      <c r="B41" s="672"/>
      <c r="C41" s="672"/>
      <c r="D41" s="672"/>
      <c r="E41" s="672"/>
      <c r="F41" s="672"/>
      <c r="G41" s="672"/>
      <c r="H41" s="672"/>
      <c r="I41" s="672"/>
      <c r="J41" s="672"/>
      <c r="K41" s="672"/>
      <c r="L41" s="672"/>
      <c r="M41" s="672"/>
      <c r="N41" s="672"/>
      <c r="O41" s="712"/>
      <c r="P41" s="713"/>
      <c r="Q41" s="735"/>
      <c r="R41" s="735"/>
      <c r="S41" s="735"/>
      <c r="T41" s="735"/>
      <c r="U41" s="735"/>
      <c r="V41" s="735"/>
      <c r="W41" s="735"/>
      <c r="X41" s="735"/>
      <c r="Y41" s="735"/>
      <c r="Z41" s="735"/>
      <c r="AA41" s="735"/>
      <c r="AB41" s="735"/>
      <c r="AC41" s="735"/>
      <c r="AD41" s="735"/>
      <c r="AE41" s="735"/>
      <c r="AF41" s="735"/>
      <c r="AG41" s="735"/>
      <c r="AH41" s="735"/>
      <c r="AI41" s="735"/>
      <c r="AJ41" s="735"/>
      <c r="AK41" s="735"/>
      <c r="AL41" s="735"/>
      <c r="AM41" s="735"/>
      <c r="AN41" s="735"/>
      <c r="AO41" s="735"/>
      <c r="AP41" s="735"/>
      <c r="AQ41" s="735"/>
      <c r="AR41" s="735"/>
      <c r="AS41" s="735"/>
      <c r="AT41" s="735"/>
      <c r="AU41" s="735"/>
      <c r="AV41" s="735"/>
      <c r="AW41" s="735"/>
      <c r="AX41" s="735"/>
      <c r="AY41" s="735"/>
      <c r="AZ41" s="735"/>
      <c r="BA41" s="735"/>
      <c r="BB41" s="735"/>
      <c r="BC41" s="735"/>
      <c r="BD41" s="735"/>
      <c r="BE41" s="782"/>
      <c r="BF41" s="782"/>
      <c r="BG41" s="783"/>
      <c r="BH41" s="784"/>
    </row>
    <row r="42" ht="17.25" spans="1:60">
      <c r="A42" s="673" t="s">
        <v>1015</v>
      </c>
      <c r="B42" s="674"/>
      <c r="C42" s="674"/>
      <c r="D42" s="674"/>
      <c r="E42" s="674"/>
      <c r="F42" s="674"/>
      <c r="G42" s="674"/>
      <c r="H42" s="674"/>
      <c r="I42" s="674"/>
      <c r="J42" s="674"/>
      <c r="K42" s="674"/>
      <c r="L42" s="674"/>
      <c r="M42" s="674"/>
      <c r="N42" s="674"/>
      <c r="O42" s="674"/>
      <c r="P42" s="674"/>
      <c r="Q42" s="674"/>
      <c r="R42" s="674"/>
      <c r="S42" s="674"/>
      <c r="T42" s="674"/>
      <c r="U42" s="674"/>
      <c r="V42" s="674"/>
      <c r="W42" s="674"/>
      <c r="X42" s="674"/>
      <c r="Y42" s="674"/>
      <c r="Z42" s="674"/>
      <c r="AA42" s="674"/>
      <c r="AB42" s="674"/>
      <c r="AC42" s="674"/>
      <c r="AD42" s="674"/>
      <c r="AE42" s="674"/>
      <c r="AF42" s="674"/>
      <c r="AG42" s="674"/>
      <c r="AH42" s="674"/>
      <c r="AI42" s="674"/>
      <c r="AJ42" s="674"/>
      <c r="AK42" s="674"/>
      <c r="AL42" s="674"/>
      <c r="AM42" s="674"/>
      <c r="AN42" s="674"/>
      <c r="AO42" s="674"/>
      <c r="AP42" s="674"/>
      <c r="AQ42" s="674"/>
      <c r="AR42" s="674"/>
      <c r="AS42" s="674"/>
      <c r="AT42" s="674"/>
      <c r="AU42" s="674"/>
      <c r="AV42" s="674"/>
      <c r="AW42" s="674"/>
      <c r="AX42" s="674"/>
      <c r="AY42" s="674"/>
      <c r="AZ42" s="674"/>
      <c r="BA42" s="674"/>
      <c r="BB42" s="674"/>
      <c r="BC42" s="674"/>
      <c r="BD42" s="674"/>
      <c r="BE42" s="674"/>
      <c r="BF42" s="674"/>
      <c r="BG42" s="674"/>
      <c r="BH42" s="785"/>
    </row>
    <row r="43" ht="20.1" customHeight="1" spans="1:60">
      <c r="A43" s="675" t="s">
        <v>1016</v>
      </c>
      <c r="B43" s="676"/>
      <c r="C43" s="676"/>
      <c r="D43" s="676"/>
      <c r="E43" s="677" t="s">
        <v>430</v>
      </c>
      <c r="F43" s="678"/>
      <c r="G43" s="678"/>
      <c r="H43" s="678"/>
      <c r="I43" s="714"/>
      <c r="J43" s="714"/>
      <c r="K43" s="714"/>
      <c r="L43" s="714"/>
      <c r="M43" s="714"/>
      <c r="N43" s="714"/>
      <c r="O43" s="714"/>
      <c r="P43" s="714"/>
      <c r="Q43" s="714"/>
      <c r="R43" s="714"/>
      <c r="S43" s="714"/>
      <c r="T43" s="714"/>
      <c r="U43" s="714"/>
      <c r="V43" s="714"/>
      <c r="W43" s="714"/>
      <c r="X43" s="714"/>
      <c r="Y43" s="714"/>
      <c r="Z43" s="714"/>
      <c r="AA43" s="714"/>
      <c r="AB43" s="714"/>
      <c r="AC43" s="714"/>
      <c r="AD43" s="714"/>
      <c r="AE43" s="714"/>
      <c r="AF43" s="714"/>
      <c r="AG43" s="714"/>
      <c r="AH43" s="714"/>
      <c r="AI43" s="714"/>
      <c r="AJ43" s="714"/>
      <c r="AK43" s="714"/>
      <c r="AL43" s="714"/>
      <c r="AM43" s="714"/>
      <c r="AN43" s="714"/>
      <c r="AO43" s="714"/>
      <c r="AP43" s="714"/>
      <c r="AQ43" s="714"/>
      <c r="AR43" s="714"/>
      <c r="AS43" s="714"/>
      <c r="AT43" s="714"/>
      <c r="AU43" s="714"/>
      <c r="AV43" s="714"/>
      <c r="AW43" s="714"/>
      <c r="AX43" s="714"/>
      <c r="AY43" s="714"/>
      <c r="AZ43" s="714"/>
      <c r="BA43" s="714"/>
      <c r="BB43" s="714"/>
      <c r="BC43" s="714"/>
      <c r="BD43" s="714"/>
      <c r="BE43" s="678" t="s">
        <v>410</v>
      </c>
      <c r="BF43" s="678"/>
      <c r="BG43" s="678"/>
      <c r="BH43" s="786"/>
    </row>
    <row r="44" ht="56.1" customHeight="1" spans="1:60">
      <c r="A44" s="675"/>
      <c r="B44" s="676"/>
      <c r="C44" s="676"/>
      <c r="D44" s="676"/>
      <c r="E44" s="679"/>
      <c r="F44" s="680"/>
      <c r="G44" s="680"/>
      <c r="H44" s="680"/>
      <c r="I44" s="715"/>
      <c r="J44" s="715"/>
      <c r="K44" s="715"/>
      <c r="L44" s="715"/>
      <c r="M44" s="715"/>
      <c r="N44" s="715"/>
      <c r="O44" s="715"/>
      <c r="P44" s="715"/>
      <c r="Q44" s="715"/>
      <c r="R44" s="715"/>
      <c r="S44" s="715"/>
      <c r="T44" s="715"/>
      <c r="U44" s="715"/>
      <c r="V44" s="715"/>
      <c r="W44" s="715"/>
      <c r="X44" s="715"/>
      <c r="Y44" s="715"/>
      <c r="Z44" s="715"/>
      <c r="AA44" s="715"/>
      <c r="AB44" s="715"/>
      <c r="AC44" s="715"/>
      <c r="AD44" s="715"/>
      <c r="AE44" s="715"/>
      <c r="AF44" s="715"/>
      <c r="AG44" s="715"/>
      <c r="AH44" s="715"/>
      <c r="AI44" s="715"/>
      <c r="AJ44" s="715"/>
      <c r="AK44" s="715"/>
      <c r="AL44" s="715"/>
      <c r="AM44" s="715"/>
      <c r="AN44" s="715"/>
      <c r="AO44" s="715"/>
      <c r="AP44" s="715"/>
      <c r="AQ44" s="715"/>
      <c r="AR44" s="715"/>
      <c r="AS44" s="715"/>
      <c r="AT44" s="715"/>
      <c r="AU44" s="715"/>
      <c r="AV44" s="715"/>
      <c r="AW44" s="715"/>
      <c r="AX44" s="715"/>
      <c r="AY44" s="715"/>
      <c r="AZ44" s="715"/>
      <c r="BA44" s="715"/>
      <c r="BB44" s="715"/>
      <c r="BC44" s="715"/>
      <c r="BD44" s="715"/>
      <c r="BE44" s="680"/>
      <c r="BF44" s="680"/>
      <c r="BG44" s="680"/>
      <c r="BH44" s="787"/>
    </row>
    <row r="45" ht="56.1" customHeight="1" spans="1:60">
      <c r="A45" s="675"/>
      <c r="B45" s="676"/>
      <c r="C45" s="676"/>
      <c r="D45" s="676"/>
      <c r="E45" s="679"/>
      <c r="F45" s="680"/>
      <c r="G45" s="680"/>
      <c r="H45" s="680"/>
      <c r="I45" s="715"/>
      <c r="J45" s="715"/>
      <c r="K45" s="715"/>
      <c r="L45" s="715"/>
      <c r="M45" s="715"/>
      <c r="N45" s="715"/>
      <c r="O45" s="715"/>
      <c r="P45" s="715"/>
      <c r="Q45" s="715"/>
      <c r="R45" s="715"/>
      <c r="S45" s="715"/>
      <c r="T45" s="715"/>
      <c r="U45" s="715"/>
      <c r="V45" s="715"/>
      <c r="W45" s="715"/>
      <c r="X45" s="715"/>
      <c r="Y45" s="715"/>
      <c r="Z45" s="715"/>
      <c r="AA45" s="715"/>
      <c r="AB45" s="715"/>
      <c r="AC45" s="715"/>
      <c r="AD45" s="715"/>
      <c r="AE45" s="715"/>
      <c r="AF45" s="715"/>
      <c r="AG45" s="715"/>
      <c r="AH45" s="715"/>
      <c r="AI45" s="715"/>
      <c r="AJ45" s="715"/>
      <c r="AK45" s="715"/>
      <c r="AL45" s="715"/>
      <c r="AM45" s="715"/>
      <c r="AN45" s="715"/>
      <c r="AO45" s="715"/>
      <c r="AP45" s="715"/>
      <c r="AQ45" s="715"/>
      <c r="AR45" s="715"/>
      <c r="AS45" s="715"/>
      <c r="AT45" s="715"/>
      <c r="AU45" s="715"/>
      <c r="AV45" s="715"/>
      <c r="AW45" s="715"/>
      <c r="AX45" s="715"/>
      <c r="AY45" s="715"/>
      <c r="AZ45" s="715"/>
      <c r="BA45" s="715"/>
      <c r="BB45" s="715"/>
      <c r="BC45" s="715"/>
      <c r="BD45" s="715"/>
      <c r="BE45" s="680"/>
      <c r="BF45" s="680"/>
      <c r="BG45" s="680"/>
      <c r="BH45" s="787"/>
    </row>
    <row r="46" ht="56.1" customHeight="1" spans="1:60">
      <c r="A46" s="675"/>
      <c r="B46" s="676"/>
      <c r="C46" s="676"/>
      <c r="D46" s="676"/>
      <c r="E46" s="679"/>
      <c r="F46" s="680"/>
      <c r="G46" s="680"/>
      <c r="H46" s="680"/>
      <c r="I46" s="715"/>
      <c r="J46" s="715"/>
      <c r="K46" s="715"/>
      <c r="L46" s="715"/>
      <c r="M46" s="715"/>
      <c r="N46" s="715"/>
      <c r="O46" s="715"/>
      <c r="P46" s="715"/>
      <c r="Q46" s="715"/>
      <c r="R46" s="715"/>
      <c r="S46" s="715"/>
      <c r="T46" s="715"/>
      <c r="U46" s="715"/>
      <c r="V46" s="715"/>
      <c r="W46" s="715"/>
      <c r="X46" s="715"/>
      <c r="Y46" s="715"/>
      <c r="Z46" s="715"/>
      <c r="AA46" s="715"/>
      <c r="AB46" s="715"/>
      <c r="AC46" s="715"/>
      <c r="AD46" s="715"/>
      <c r="AE46" s="715"/>
      <c r="AF46" s="715"/>
      <c r="AG46" s="715"/>
      <c r="AH46" s="715"/>
      <c r="AI46" s="715"/>
      <c r="AJ46" s="715"/>
      <c r="AK46" s="715"/>
      <c r="AL46" s="715"/>
      <c r="AM46" s="715"/>
      <c r="AN46" s="715"/>
      <c r="AO46" s="715"/>
      <c r="AP46" s="715"/>
      <c r="AQ46" s="715"/>
      <c r="AR46" s="715"/>
      <c r="AS46" s="715"/>
      <c r="AT46" s="715"/>
      <c r="AU46" s="715"/>
      <c r="AV46" s="715"/>
      <c r="AW46" s="715"/>
      <c r="AX46" s="715"/>
      <c r="AY46" s="715"/>
      <c r="AZ46" s="715"/>
      <c r="BA46" s="715"/>
      <c r="BB46" s="715"/>
      <c r="BC46" s="715"/>
      <c r="BD46" s="715"/>
      <c r="BE46" s="680"/>
      <c r="BF46" s="680"/>
      <c r="BG46" s="680"/>
      <c r="BH46" s="787"/>
    </row>
    <row r="47" ht="56.1" customHeight="1" spans="1:60">
      <c r="A47" s="675"/>
      <c r="B47" s="676"/>
      <c r="C47" s="676"/>
      <c r="D47" s="676"/>
      <c r="E47" s="679"/>
      <c r="F47" s="680"/>
      <c r="G47" s="680"/>
      <c r="H47" s="680"/>
      <c r="I47" s="715"/>
      <c r="J47" s="715"/>
      <c r="K47" s="715"/>
      <c r="L47" s="715"/>
      <c r="M47" s="715"/>
      <c r="N47" s="715"/>
      <c r="O47" s="715"/>
      <c r="P47" s="715"/>
      <c r="Q47" s="715"/>
      <c r="R47" s="715"/>
      <c r="S47" s="715"/>
      <c r="T47" s="715"/>
      <c r="U47" s="715"/>
      <c r="V47" s="715"/>
      <c r="W47" s="715"/>
      <c r="X47" s="715"/>
      <c r="Y47" s="715"/>
      <c r="Z47" s="715"/>
      <c r="AA47" s="715"/>
      <c r="AB47" s="715"/>
      <c r="AC47" s="715"/>
      <c r="AD47" s="715"/>
      <c r="AE47" s="715"/>
      <c r="AF47" s="715"/>
      <c r="AG47" s="715"/>
      <c r="AH47" s="715"/>
      <c r="AI47" s="715"/>
      <c r="AJ47" s="715"/>
      <c r="AK47" s="715"/>
      <c r="AL47" s="715"/>
      <c r="AM47" s="715"/>
      <c r="AN47" s="715"/>
      <c r="AO47" s="715"/>
      <c r="AP47" s="715"/>
      <c r="AQ47" s="715"/>
      <c r="AR47" s="715"/>
      <c r="AS47" s="715"/>
      <c r="AT47" s="715"/>
      <c r="AU47" s="715"/>
      <c r="AV47" s="715"/>
      <c r="AW47" s="715"/>
      <c r="AX47" s="715"/>
      <c r="AY47" s="715"/>
      <c r="AZ47" s="715"/>
      <c r="BA47" s="715"/>
      <c r="BB47" s="715"/>
      <c r="BC47" s="715"/>
      <c r="BD47" s="715"/>
      <c r="BE47" s="680"/>
      <c r="BF47" s="680"/>
      <c r="BG47" s="680"/>
      <c r="BH47" s="787"/>
    </row>
    <row r="48" ht="56.1" customHeight="1" spans="1:60">
      <c r="A48" s="675"/>
      <c r="B48" s="676"/>
      <c r="C48" s="676"/>
      <c r="D48" s="676"/>
      <c r="E48" s="681"/>
      <c r="F48" s="682"/>
      <c r="G48" s="682"/>
      <c r="H48" s="682"/>
      <c r="I48" s="716"/>
      <c r="J48" s="716"/>
      <c r="K48" s="716"/>
      <c r="L48" s="716"/>
      <c r="M48" s="716"/>
      <c r="N48" s="716"/>
      <c r="O48" s="716"/>
      <c r="P48" s="716"/>
      <c r="Q48" s="716"/>
      <c r="R48" s="716"/>
      <c r="S48" s="716"/>
      <c r="T48" s="716"/>
      <c r="U48" s="716"/>
      <c r="V48" s="716"/>
      <c r="W48" s="716"/>
      <c r="X48" s="716"/>
      <c r="Y48" s="716"/>
      <c r="Z48" s="716"/>
      <c r="AA48" s="716"/>
      <c r="AB48" s="716"/>
      <c r="AC48" s="716"/>
      <c r="AD48" s="716"/>
      <c r="AE48" s="716"/>
      <c r="AF48" s="716"/>
      <c r="AG48" s="716"/>
      <c r="AH48" s="716"/>
      <c r="AI48" s="716"/>
      <c r="AJ48" s="716"/>
      <c r="AK48" s="716"/>
      <c r="AL48" s="716"/>
      <c r="AM48" s="716"/>
      <c r="AN48" s="716"/>
      <c r="AO48" s="716"/>
      <c r="AP48" s="716"/>
      <c r="AQ48" s="716"/>
      <c r="AR48" s="716"/>
      <c r="AS48" s="716"/>
      <c r="AT48" s="716"/>
      <c r="AU48" s="716"/>
      <c r="AV48" s="716"/>
      <c r="AW48" s="716"/>
      <c r="AX48" s="716"/>
      <c r="AY48" s="716"/>
      <c r="AZ48" s="716"/>
      <c r="BA48" s="716"/>
      <c r="BB48" s="716"/>
      <c r="BC48" s="716"/>
      <c r="BD48" s="716"/>
      <c r="BE48" s="682"/>
      <c r="BF48" s="682"/>
      <c r="BG48" s="682"/>
      <c r="BH48" s="788"/>
    </row>
    <row r="49" spans="1:60">
      <c r="A49" s="683" t="s">
        <v>1017</v>
      </c>
      <c r="B49" s="684"/>
      <c r="C49" s="684"/>
      <c r="D49" s="685"/>
      <c r="E49" s="686" t="s">
        <v>1018</v>
      </c>
      <c r="F49" s="686"/>
      <c r="G49" s="686"/>
      <c r="H49" s="686"/>
      <c r="I49" s="686"/>
      <c r="J49" s="686"/>
      <c r="K49" s="686"/>
      <c r="L49" s="686"/>
      <c r="M49" s="686"/>
      <c r="N49" s="686"/>
      <c r="O49" s="686"/>
      <c r="P49" s="717"/>
      <c r="Q49" s="717"/>
      <c r="R49" s="717"/>
      <c r="S49" s="717"/>
      <c r="T49" s="717"/>
      <c r="U49" s="736" t="s">
        <v>1019</v>
      </c>
      <c r="V49" s="736"/>
      <c r="W49" s="736"/>
      <c r="X49" s="736"/>
      <c r="Y49" s="736"/>
      <c r="Z49" s="705"/>
      <c r="AA49" s="705"/>
      <c r="AB49" s="705"/>
      <c r="AC49" s="705"/>
      <c r="AD49" s="705"/>
      <c r="AE49" s="705"/>
      <c r="AF49" s="705"/>
      <c r="AG49" s="705"/>
      <c r="AH49" s="705"/>
      <c r="AI49" s="705"/>
      <c r="AJ49" s="705"/>
      <c r="AK49" s="705"/>
      <c r="AL49" s="705"/>
      <c r="AM49" s="705"/>
      <c r="AN49" s="705"/>
      <c r="AO49" s="705"/>
      <c r="AP49" s="705"/>
      <c r="AQ49" s="705"/>
      <c r="AR49" s="705"/>
      <c r="AS49" s="705"/>
      <c r="AT49" s="705"/>
      <c r="AU49" s="705"/>
      <c r="AV49" s="705"/>
      <c r="AW49" s="705"/>
      <c r="AX49" s="705"/>
      <c r="AY49" s="705"/>
      <c r="AZ49" s="705"/>
      <c r="BA49" s="705"/>
      <c r="BB49" s="705"/>
      <c r="BC49" s="705"/>
      <c r="BD49" s="705"/>
      <c r="BE49" s="705"/>
      <c r="BF49" s="705"/>
      <c r="BG49" s="705"/>
      <c r="BH49" s="789"/>
    </row>
    <row r="50" ht="15.95" customHeight="1" spans="1:60">
      <c r="A50" s="683"/>
      <c r="B50" s="684"/>
      <c r="C50" s="684"/>
      <c r="D50" s="685"/>
      <c r="E50" s="662" t="s">
        <v>1020</v>
      </c>
      <c r="F50" s="662"/>
      <c r="G50" s="662" t="s">
        <v>1021</v>
      </c>
      <c r="H50" s="662"/>
      <c r="I50" s="662"/>
      <c r="J50" s="662"/>
      <c r="K50" s="662"/>
      <c r="L50" s="662"/>
      <c r="M50" s="662"/>
      <c r="N50" s="662"/>
      <c r="O50" s="662"/>
      <c r="P50" s="662"/>
      <c r="Q50" s="662"/>
      <c r="R50" s="662"/>
      <c r="S50" s="662" t="s">
        <v>1022</v>
      </c>
      <c r="T50" s="662"/>
      <c r="U50" s="662"/>
      <c r="V50" s="662" t="s">
        <v>1023</v>
      </c>
      <c r="W50" s="662"/>
      <c r="X50" s="662"/>
      <c r="Y50" s="662" t="s">
        <v>1024</v>
      </c>
      <c r="Z50" s="662"/>
      <c r="AA50" s="662"/>
      <c r="AB50" s="662"/>
      <c r="AC50" s="662" t="s">
        <v>755</v>
      </c>
      <c r="AD50" s="662"/>
      <c r="AE50" s="662"/>
      <c r="AF50" s="662"/>
      <c r="AG50" s="662" t="s">
        <v>1020</v>
      </c>
      <c r="AH50" s="662"/>
      <c r="AI50" s="662" t="s">
        <v>1021</v>
      </c>
      <c r="AJ50" s="662"/>
      <c r="AK50" s="662"/>
      <c r="AL50" s="662"/>
      <c r="AM50" s="662"/>
      <c r="AN50" s="662"/>
      <c r="AO50" s="662"/>
      <c r="AP50" s="662"/>
      <c r="AQ50" s="662"/>
      <c r="AR50" s="662"/>
      <c r="AS50" s="662"/>
      <c r="AT50" s="662"/>
      <c r="AU50" s="662" t="s">
        <v>1022</v>
      </c>
      <c r="AV50" s="662"/>
      <c r="AW50" s="662"/>
      <c r="AX50" s="662" t="s">
        <v>1023</v>
      </c>
      <c r="AY50" s="662"/>
      <c r="AZ50" s="662"/>
      <c r="BA50" s="662" t="s">
        <v>1024</v>
      </c>
      <c r="BB50" s="662"/>
      <c r="BC50" s="662"/>
      <c r="BD50" s="662"/>
      <c r="BE50" s="687" t="s">
        <v>755</v>
      </c>
      <c r="BF50" s="670"/>
      <c r="BG50" s="670"/>
      <c r="BH50" s="790"/>
    </row>
    <row r="51" customHeight="1" spans="1:60">
      <c r="A51" s="683"/>
      <c r="B51" s="684"/>
      <c r="C51" s="684"/>
      <c r="D51" s="685"/>
      <c r="E51" s="662"/>
      <c r="F51" s="662"/>
      <c r="G51" s="662" t="s">
        <v>1025</v>
      </c>
      <c r="H51" s="662"/>
      <c r="I51" s="662"/>
      <c r="J51" s="662"/>
      <c r="K51" s="662"/>
      <c r="L51" s="662"/>
      <c r="M51" s="662"/>
      <c r="N51" s="662"/>
      <c r="O51" s="662"/>
      <c r="P51" s="662"/>
      <c r="Q51" s="662"/>
      <c r="R51" s="662"/>
      <c r="S51" s="662"/>
      <c r="T51" s="662"/>
      <c r="U51" s="662"/>
      <c r="V51" s="732" t="s">
        <v>896</v>
      </c>
      <c r="W51" s="732"/>
      <c r="X51" s="732"/>
      <c r="Y51" s="732" t="s">
        <v>1026</v>
      </c>
      <c r="Z51" s="732"/>
      <c r="AA51" s="732"/>
      <c r="AB51" s="732"/>
      <c r="AC51" s="732" t="s">
        <v>1027</v>
      </c>
      <c r="AD51" s="732"/>
      <c r="AE51" s="732"/>
      <c r="AF51" s="732"/>
      <c r="AG51" s="662"/>
      <c r="AH51" s="662"/>
      <c r="AI51" s="662" t="s">
        <v>1025</v>
      </c>
      <c r="AJ51" s="662"/>
      <c r="AK51" s="662"/>
      <c r="AL51" s="662"/>
      <c r="AM51" s="662"/>
      <c r="AN51" s="662"/>
      <c r="AO51" s="662"/>
      <c r="AP51" s="662"/>
      <c r="AQ51" s="662"/>
      <c r="AR51" s="662"/>
      <c r="AS51" s="662"/>
      <c r="AT51" s="662"/>
      <c r="AU51" s="662"/>
      <c r="AV51" s="662"/>
      <c r="AW51" s="662"/>
      <c r="AX51" s="732" t="s">
        <v>896</v>
      </c>
      <c r="AY51" s="732"/>
      <c r="AZ51" s="732"/>
      <c r="BA51" s="732" t="s">
        <v>1026</v>
      </c>
      <c r="BB51" s="732"/>
      <c r="BC51" s="732"/>
      <c r="BD51" s="732"/>
      <c r="BE51" s="791" t="s">
        <v>1028</v>
      </c>
      <c r="BF51" s="792"/>
      <c r="BG51" s="792"/>
      <c r="BH51" s="793"/>
    </row>
    <row r="52" ht="15.95" customHeight="1" spans="1:60">
      <c r="A52" s="683"/>
      <c r="B52" s="684"/>
      <c r="C52" s="684"/>
      <c r="D52" s="685"/>
      <c r="E52" s="687" t="s">
        <v>1030</v>
      </c>
      <c r="F52" s="688"/>
      <c r="G52" s="687"/>
      <c r="H52" s="670"/>
      <c r="I52" s="670"/>
      <c r="J52" s="670"/>
      <c r="K52" s="670"/>
      <c r="L52" s="670"/>
      <c r="M52" s="670"/>
      <c r="N52" s="670"/>
      <c r="O52" s="670"/>
      <c r="P52" s="670"/>
      <c r="Q52" s="670"/>
      <c r="R52" s="688"/>
      <c r="S52" s="662" t="s">
        <v>1031</v>
      </c>
      <c r="T52" s="662"/>
      <c r="U52" s="662"/>
      <c r="V52" s="670"/>
      <c r="W52" s="670"/>
      <c r="X52" s="688"/>
      <c r="Y52" s="687"/>
      <c r="Z52" s="670"/>
      <c r="AA52" s="670"/>
      <c r="AB52" s="688"/>
      <c r="AC52" s="687"/>
      <c r="AD52" s="670"/>
      <c r="AE52" s="670"/>
      <c r="AF52" s="688"/>
      <c r="AG52" s="687" t="s">
        <v>1032</v>
      </c>
      <c r="AH52" s="688"/>
      <c r="AI52" s="687"/>
      <c r="AJ52" s="670"/>
      <c r="AK52" s="670"/>
      <c r="AL52" s="670"/>
      <c r="AM52" s="670"/>
      <c r="AN52" s="670"/>
      <c r="AO52" s="670"/>
      <c r="AP52" s="670"/>
      <c r="AQ52" s="670"/>
      <c r="AR52" s="670"/>
      <c r="AS52" s="670"/>
      <c r="AT52" s="688"/>
      <c r="AU52" s="662" t="s">
        <v>1031</v>
      </c>
      <c r="AV52" s="662"/>
      <c r="AW52" s="662"/>
      <c r="AX52" s="670"/>
      <c r="AY52" s="670"/>
      <c r="AZ52" s="688"/>
      <c r="BA52" s="687"/>
      <c r="BB52" s="670"/>
      <c r="BC52" s="670"/>
      <c r="BD52" s="688"/>
      <c r="BE52" s="687"/>
      <c r="BF52" s="670"/>
      <c r="BG52" s="670"/>
      <c r="BH52" s="790"/>
    </row>
    <row r="53" ht="15.95" customHeight="1" spans="1:60">
      <c r="A53" s="683"/>
      <c r="B53" s="684"/>
      <c r="C53" s="684"/>
      <c r="D53" s="685"/>
      <c r="E53" s="687" t="s">
        <v>1033</v>
      </c>
      <c r="F53" s="688"/>
      <c r="G53" s="687"/>
      <c r="H53" s="670"/>
      <c r="I53" s="670"/>
      <c r="J53" s="670"/>
      <c r="K53" s="670"/>
      <c r="L53" s="670"/>
      <c r="M53" s="670"/>
      <c r="N53" s="670"/>
      <c r="O53" s="670"/>
      <c r="P53" s="670"/>
      <c r="Q53" s="670"/>
      <c r="R53" s="688"/>
      <c r="S53" s="662" t="s">
        <v>1031</v>
      </c>
      <c r="T53" s="662"/>
      <c r="U53" s="662"/>
      <c r="V53" s="670"/>
      <c r="W53" s="670"/>
      <c r="X53" s="688"/>
      <c r="Y53" s="687"/>
      <c r="Z53" s="670"/>
      <c r="AA53" s="670"/>
      <c r="AB53" s="688"/>
      <c r="AC53" s="687"/>
      <c r="AD53" s="670"/>
      <c r="AE53" s="670"/>
      <c r="AF53" s="688"/>
      <c r="AG53" s="687" t="s">
        <v>1034</v>
      </c>
      <c r="AH53" s="688"/>
      <c r="AI53" s="687"/>
      <c r="AJ53" s="670"/>
      <c r="AK53" s="670"/>
      <c r="AL53" s="670"/>
      <c r="AM53" s="670"/>
      <c r="AN53" s="670"/>
      <c r="AO53" s="670"/>
      <c r="AP53" s="670"/>
      <c r="AQ53" s="670"/>
      <c r="AR53" s="670"/>
      <c r="AS53" s="670"/>
      <c r="AT53" s="688"/>
      <c r="AU53" s="662" t="s">
        <v>1031</v>
      </c>
      <c r="AV53" s="662"/>
      <c r="AW53" s="662"/>
      <c r="AX53" s="670"/>
      <c r="AY53" s="670"/>
      <c r="AZ53" s="688"/>
      <c r="BA53" s="687"/>
      <c r="BB53" s="670"/>
      <c r="BC53" s="670"/>
      <c r="BD53" s="688"/>
      <c r="BE53" s="687"/>
      <c r="BF53" s="670"/>
      <c r="BG53" s="670"/>
      <c r="BH53" s="790"/>
    </row>
    <row r="54" ht="15.95" customHeight="1" spans="1:60">
      <c r="A54" s="683"/>
      <c r="B54" s="684"/>
      <c r="C54" s="684"/>
      <c r="D54" s="685"/>
      <c r="E54" s="687" t="s">
        <v>1035</v>
      </c>
      <c r="F54" s="688"/>
      <c r="G54" s="687"/>
      <c r="H54" s="670"/>
      <c r="I54" s="670"/>
      <c r="J54" s="670"/>
      <c r="K54" s="670"/>
      <c r="L54" s="670"/>
      <c r="M54" s="670"/>
      <c r="N54" s="670"/>
      <c r="O54" s="670"/>
      <c r="P54" s="670"/>
      <c r="Q54" s="670"/>
      <c r="R54" s="688"/>
      <c r="S54" s="662" t="s">
        <v>1031</v>
      </c>
      <c r="T54" s="662"/>
      <c r="U54" s="662"/>
      <c r="V54" s="670"/>
      <c r="W54" s="670"/>
      <c r="X54" s="688"/>
      <c r="Y54" s="687"/>
      <c r="Z54" s="670"/>
      <c r="AA54" s="670"/>
      <c r="AB54" s="688"/>
      <c r="AC54" s="687"/>
      <c r="AD54" s="670"/>
      <c r="AE54" s="670"/>
      <c r="AF54" s="688"/>
      <c r="AG54" s="687" t="s">
        <v>1036</v>
      </c>
      <c r="AH54" s="688"/>
      <c r="AI54" s="687"/>
      <c r="AJ54" s="670"/>
      <c r="AK54" s="670"/>
      <c r="AL54" s="670"/>
      <c r="AM54" s="670"/>
      <c r="AN54" s="670"/>
      <c r="AO54" s="670"/>
      <c r="AP54" s="670"/>
      <c r="AQ54" s="670"/>
      <c r="AR54" s="670"/>
      <c r="AS54" s="670"/>
      <c r="AT54" s="688"/>
      <c r="AU54" s="662" t="s">
        <v>1031</v>
      </c>
      <c r="AV54" s="662"/>
      <c r="AW54" s="662"/>
      <c r="AX54" s="670"/>
      <c r="AY54" s="670"/>
      <c r="AZ54" s="688"/>
      <c r="BA54" s="687"/>
      <c r="BB54" s="670"/>
      <c r="BC54" s="670"/>
      <c r="BD54" s="688"/>
      <c r="BE54" s="687"/>
      <c r="BF54" s="670"/>
      <c r="BG54" s="670"/>
      <c r="BH54" s="790"/>
    </row>
    <row r="55" ht="15.95" customHeight="1" spans="1:60">
      <c r="A55" s="683"/>
      <c r="B55" s="684"/>
      <c r="C55" s="684"/>
      <c r="D55" s="685"/>
      <c r="E55" s="687" t="s">
        <v>1645</v>
      </c>
      <c r="F55" s="688"/>
      <c r="G55" s="687"/>
      <c r="H55" s="670"/>
      <c r="I55" s="670"/>
      <c r="J55" s="670"/>
      <c r="K55" s="670"/>
      <c r="L55" s="670"/>
      <c r="M55" s="670"/>
      <c r="N55" s="670"/>
      <c r="O55" s="670"/>
      <c r="P55" s="670"/>
      <c r="Q55" s="670"/>
      <c r="R55" s="688"/>
      <c r="S55" s="662" t="s">
        <v>1031</v>
      </c>
      <c r="T55" s="662"/>
      <c r="U55" s="662"/>
      <c r="V55" s="670"/>
      <c r="W55" s="670"/>
      <c r="X55" s="688"/>
      <c r="Y55" s="687"/>
      <c r="Z55" s="670"/>
      <c r="AA55" s="670"/>
      <c r="AB55" s="688"/>
      <c r="AC55" s="687"/>
      <c r="AD55" s="670"/>
      <c r="AE55" s="670"/>
      <c r="AF55" s="688"/>
      <c r="AG55" s="687" t="s">
        <v>1646</v>
      </c>
      <c r="AH55" s="688"/>
      <c r="AI55" s="687"/>
      <c r="AJ55" s="670"/>
      <c r="AK55" s="670"/>
      <c r="AL55" s="670"/>
      <c r="AM55" s="670"/>
      <c r="AN55" s="670"/>
      <c r="AO55" s="670"/>
      <c r="AP55" s="670"/>
      <c r="AQ55" s="670"/>
      <c r="AR55" s="670"/>
      <c r="AS55" s="670"/>
      <c r="AT55" s="688"/>
      <c r="AU55" s="662" t="s">
        <v>1031</v>
      </c>
      <c r="AV55" s="662"/>
      <c r="AW55" s="662"/>
      <c r="AX55" s="670"/>
      <c r="AY55" s="670"/>
      <c r="AZ55" s="688"/>
      <c r="BA55" s="687"/>
      <c r="BB55" s="670"/>
      <c r="BC55" s="670"/>
      <c r="BD55" s="688"/>
      <c r="BE55" s="687"/>
      <c r="BF55" s="670"/>
      <c r="BG55" s="670"/>
      <c r="BH55" s="790"/>
    </row>
    <row r="56" ht="15.95" customHeight="1" spans="1:60">
      <c r="A56" s="683"/>
      <c r="B56" s="684"/>
      <c r="C56" s="684"/>
      <c r="D56" s="685"/>
      <c r="E56" s="687" t="s">
        <v>1647</v>
      </c>
      <c r="F56" s="688"/>
      <c r="G56" s="687"/>
      <c r="H56" s="670"/>
      <c r="I56" s="670"/>
      <c r="J56" s="670"/>
      <c r="K56" s="670"/>
      <c r="L56" s="670"/>
      <c r="M56" s="670"/>
      <c r="N56" s="670"/>
      <c r="O56" s="670"/>
      <c r="P56" s="670"/>
      <c r="Q56" s="670"/>
      <c r="R56" s="688"/>
      <c r="S56" s="662" t="s">
        <v>1031</v>
      </c>
      <c r="T56" s="662"/>
      <c r="U56" s="662"/>
      <c r="V56" s="670"/>
      <c r="W56" s="670"/>
      <c r="X56" s="688"/>
      <c r="Y56" s="687"/>
      <c r="Z56" s="670"/>
      <c r="AA56" s="670"/>
      <c r="AB56" s="688"/>
      <c r="AC56" s="687"/>
      <c r="AD56" s="670"/>
      <c r="AE56" s="670"/>
      <c r="AF56" s="688"/>
      <c r="AG56" s="687" t="s">
        <v>1648</v>
      </c>
      <c r="AH56" s="688"/>
      <c r="AI56" s="687"/>
      <c r="AJ56" s="670"/>
      <c r="AK56" s="670"/>
      <c r="AL56" s="670"/>
      <c r="AM56" s="670"/>
      <c r="AN56" s="670"/>
      <c r="AO56" s="670"/>
      <c r="AP56" s="670"/>
      <c r="AQ56" s="670"/>
      <c r="AR56" s="670"/>
      <c r="AS56" s="670"/>
      <c r="AT56" s="688"/>
      <c r="AU56" s="662" t="s">
        <v>1031</v>
      </c>
      <c r="AV56" s="662"/>
      <c r="AW56" s="662"/>
      <c r="AX56" s="670"/>
      <c r="AY56" s="670"/>
      <c r="AZ56" s="688"/>
      <c r="BA56" s="687"/>
      <c r="BB56" s="670"/>
      <c r="BC56" s="670"/>
      <c r="BD56" s="688"/>
      <c r="BE56" s="687"/>
      <c r="BF56" s="670"/>
      <c r="BG56" s="670"/>
      <c r="BH56" s="790"/>
    </row>
    <row r="57" ht="15.95" customHeight="1" spans="1:60">
      <c r="A57" s="689"/>
      <c r="B57" s="690"/>
      <c r="C57" s="690"/>
      <c r="D57" s="691"/>
      <c r="E57" s="687" t="s">
        <v>1649</v>
      </c>
      <c r="F57" s="688"/>
      <c r="G57" s="687"/>
      <c r="H57" s="670"/>
      <c r="I57" s="670"/>
      <c r="J57" s="670"/>
      <c r="K57" s="670"/>
      <c r="L57" s="670"/>
      <c r="M57" s="670"/>
      <c r="N57" s="670"/>
      <c r="O57" s="670"/>
      <c r="P57" s="670"/>
      <c r="Q57" s="670"/>
      <c r="R57" s="688"/>
      <c r="S57" s="662" t="s">
        <v>1031</v>
      </c>
      <c r="T57" s="662"/>
      <c r="U57" s="662"/>
      <c r="V57" s="670"/>
      <c r="W57" s="670"/>
      <c r="X57" s="688"/>
      <c r="Y57" s="687"/>
      <c r="Z57" s="670"/>
      <c r="AA57" s="670"/>
      <c r="AB57" s="688"/>
      <c r="AC57" s="687"/>
      <c r="AD57" s="670"/>
      <c r="AE57" s="670"/>
      <c r="AF57" s="688"/>
      <c r="AG57" s="687" t="s">
        <v>1650</v>
      </c>
      <c r="AH57" s="688"/>
      <c r="AI57" s="687"/>
      <c r="AJ57" s="670"/>
      <c r="AK57" s="670"/>
      <c r="AL57" s="670"/>
      <c r="AM57" s="670"/>
      <c r="AN57" s="670"/>
      <c r="AO57" s="670"/>
      <c r="AP57" s="670"/>
      <c r="AQ57" s="670"/>
      <c r="AR57" s="670"/>
      <c r="AS57" s="670"/>
      <c r="AT57" s="688"/>
      <c r="AU57" s="662" t="s">
        <v>1031</v>
      </c>
      <c r="AV57" s="662"/>
      <c r="AW57" s="662"/>
      <c r="AX57" s="670"/>
      <c r="AY57" s="670"/>
      <c r="AZ57" s="688"/>
      <c r="BA57" s="687"/>
      <c r="BB57" s="670"/>
      <c r="BC57" s="670"/>
      <c r="BD57" s="688"/>
      <c r="BE57" s="687"/>
      <c r="BF57" s="670"/>
      <c r="BG57" s="670"/>
      <c r="BH57" s="790"/>
    </row>
    <row r="58" ht="24" customHeight="1" spans="1:60">
      <c r="A58" s="692" t="str">
        <f>IF(目录!G2="中文",对照!Z77,IF(目录!G2="English",对照!AA77,对照!Z77))</f>
        <v>设定项目</v>
      </c>
      <c r="B58" s="693"/>
      <c r="C58" s="693"/>
      <c r="D58" s="693"/>
      <c r="E58" s="654"/>
      <c r="F58" s="654"/>
      <c r="G58" s="654"/>
      <c r="H58" s="654"/>
      <c r="I58" s="654"/>
      <c r="J58" s="654"/>
      <c r="K58" s="654"/>
      <c r="L58" s="654"/>
      <c r="M58" s="654"/>
      <c r="N58" s="654"/>
      <c r="O58" s="654"/>
      <c r="P58" s="654"/>
      <c r="Q58" s="654"/>
      <c r="R58" s="654"/>
      <c r="S58" s="654"/>
      <c r="T58" s="654"/>
      <c r="U58" s="654"/>
      <c r="V58" s="654"/>
      <c r="W58" s="654"/>
      <c r="X58" s="654"/>
      <c r="Y58" s="654"/>
      <c r="Z58" s="654"/>
      <c r="AA58" s="654"/>
      <c r="AB58" s="654"/>
      <c r="AC58" s="654"/>
      <c r="AD58" s="654"/>
      <c r="AE58" s="654"/>
      <c r="AF58" s="654"/>
      <c r="AG58" s="693"/>
      <c r="AH58" s="693"/>
      <c r="AI58" s="693"/>
      <c r="AJ58" s="693"/>
      <c r="AK58" s="693"/>
      <c r="AL58" s="693"/>
      <c r="AM58" s="693"/>
      <c r="AN58" s="693"/>
      <c r="AO58" s="693"/>
      <c r="AP58" s="693"/>
      <c r="AQ58" s="693"/>
      <c r="AR58" s="693"/>
      <c r="AS58" s="693"/>
      <c r="AT58" s="693"/>
      <c r="AU58" s="693"/>
      <c r="AV58" s="693"/>
      <c r="AW58" s="693"/>
      <c r="AX58" s="693"/>
      <c r="AY58" s="693"/>
      <c r="AZ58" s="693"/>
      <c r="BA58" s="693"/>
      <c r="BB58" s="693"/>
      <c r="BC58" s="693"/>
      <c r="BD58" s="693"/>
      <c r="BE58" s="693"/>
      <c r="BF58" s="693"/>
      <c r="BG58" s="693"/>
      <c r="BH58" s="794"/>
    </row>
    <row r="59" ht="15.95" customHeight="1" spans="1:60">
      <c r="A59" s="694" t="str">
        <f>IF(目录!G2="中文",对照!Z78,IF(目录!G2="English",对照!AA78,对照!Z78))</f>
        <v>射胶</v>
      </c>
      <c r="B59" s="695"/>
      <c r="C59" s="695"/>
      <c r="D59" s="695"/>
      <c r="E59" s="695"/>
      <c r="F59" s="695"/>
      <c r="G59" s="695"/>
      <c r="H59" s="695"/>
      <c r="I59" s="695"/>
      <c r="J59" s="695"/>
      <c r="K59" s="695"/>
      <c r="L59" s="695"/>
      <c r="M59" s="695"/>
      <c r="N59" s="695"/>
      <c r="O59" s="695"/>
      <c r="P59" s="695"/>
      <c r="Q59" s="695"/>
      <c r="R59" s="695"/>
      <c r="S59" s="695"/>
      <c r="T59" s="695"/>
      <c r="U59" s="695"/>
      <c r="V59" s="695"/>
      <c r="W59" s="695"/>
      <c r="X59" s="695"/>
      <c r="Y59" s="695"/>
      <c r="Z59" s="695"/>
      <c r="AA59" s="695"/>
      <c r="AB59" s="695"/>
      <c r="AC59" s="695"/>
      <c r="AD59" s="695"/>
      <c r="AE59" s="695"/>
      <c r="AF59" s="747"/>
      <c r="AG59" s="753" t="s">
        <v>1038</v>
      </c>
      <c r="AH59" s="753"/>
      <c r="AI59" s="753"/>
      <c r="AJ59" s="753"/>
      <c r="AK59" s="753"/>
      <c r="AL59" s="753"/>
      <c r="AM59" s="753"/>
      <c r="AN59" s="753"/>
      <c r="AO59" s="753"/>
      <c r="AP59" s="753"/>
      <c r="AQ59" s="753"/>
      <c r="AR59" s="753"/>
      <c r="AS59" s="753"/>
      <c r="AT59" s="753"/>
      <c r="AU59" s="753"/>
      <c r="AV59" s="753"/>
      <c r="AW59" s="753"/>
      <c r="AX59" s="753"/>
      <c r="AY59" s="753"/>
      <c r="AZ59" s="753"/>
      <c r="BA59" s="753"/>
      <c r="BB59" s="753"/>
      <c r="BC59" s="753"/>
      <c r="BD59" s="753"/>
      <c r="BE59" s="753"/>
      <c r="BF59" s="753"/>
      <c r="BG59" s="753"/>
      <c r="BH59" s="795"/>
    </row>
    <row r="60" ht="15.95" customHeight="1" spans="1:60">
      <c r="A60" s="661"/>
      <c r="B60" s="662"/>
      <c r="C60" s="662"/>
      <c r="D60" s="662"/>
      <c r="E60" s="658" t="str">
        <f>IF(目录!G2="中文",对照!Z28,IF(目录!G2="English",对照!AA28,对照!Z28))</f>
        <v>单位</v>
      </c>
      <c r="F60" s="658"/>
      <c r="G60" s="658"/>
      <c r="H60" s="658"/>
      <c r="I60" s="658">
        <v>1</v>
      </c>
      <c r="J60" s="658"/>
      <c r="K60" s="658"/>
      <c r="L60" s="658"/>
      <c r="M60" s="658">
        <v>2</v>
      </c>
      <c r="N60" s="658"/>
      <c r="O60" s="658"/>
      <c r="P60" s="658"/>
      <c r="Q60" s="658">
        <v>3</v>
      </c>
      <c r="R60" s="658"/>
      <c r="S60" s="658"/>
      <c r="T60" s="658"/>
      <c r="U60" s="658">
        <v>4</v>
      </c>
      <c r="V60" s="658"/>
      <c r="W60" s="658"/>
      <c r="X60" s="658"/>
      <c r="Y60" s="723">
        <v>5</v>
      </c>
      <c r="Z60" s="724"/>
      <c r="AA60" s="724"/>
      <c r="AB60" s="740"/>
      <c r="AC60" s="723">
        <v>6</v>
      </c>
      <c r="AD60" s="724"/>
      <c r="AE60" s="724"/>
      <c r="AF60" s="740"/>
      <c r="AG60" s="753"/>
      <c r="AH60" s="753"/>
      <c r="AI60" s="753"/>
      <c r="AJ60" s="753"/>
      <c r="AK60" s="753"/>
      <c r="AL60" s="753"/>
      <c r="AM60" s="754" t="s">
        <v>565</v>
      </c>
      <c r="AN60" s="754"/>
      <c r="AO60" s="754"/>
      <c r="AP60" s="754"/>
      <c r="AQ60" s="754"/>
      <c r="AR60" s="754"/>
      <c r="AS60" s="754">
        <v>1</v>
      </c>
      <c r="AT60" s="754"/>
      <c r="AU60" s="754"/>
      <c r="AV60" s="754"/>
      <c r="AW60" s="754">
        <v>2</v>
      </c>
      <c r="AX60" s="754"/>
      <c r="AY60" s="754"/>
      <c r="AZ60" s="754"/>
      <c r="BA60" s="754">
        <v>3</v>
      </c>
      <c r="BB60" s="754"/>
      <c r="BC60" s="754"/>
      <c r="BD60" s="754"/>
      <c r="BE60" s="754">
        <v>4</v>
      </c>
      <c r="BF60" s="754"/>
      <c r="BG60" s="754"/>
      <c r="BH60" s="796"/>
    </row>
    <row r="61" ht="15.95" customHeight="1" spans="1:60">
      <c r="A61" s="657" t="str">
        <f>IF(目录!G2="中文",对照!Z80,IF(目录!G2="English",对照!AA80,对照!Z80))</f>
        <v>压力</v>
      </c>
      <c r="B61" s="658"/>
      <c r="C61" s="658"/>
      <c r="D61" s="658"/>
      <c r="E61" s="696" t="s">
        <v>903</v>
      </c>
      <c r="F61" s="696"/>
      <c r="G61" s="696"/>
      <c r="H61" s="696"/>
      <c r="I61" s="662" t="s">
        <v>1039</v>
      </c>
      <c r="J61" s="662"/>
      <c r="K61" s="662"/>
      <c r="L61" s="662"/>
      <c r="M61" s="662" t="s">
        <v>1040</v>
      </c>
      <c r="N61" s="662"/>
      <c r="O61" s="662"/>
      <c r="P61" s="662"/>
      <c r="Q61" s="662" t="s">
        <v>1041</v>
      </c>
      <c r="R61" s="662"/>
      <c r="S61" s="662"/>
      <c r="T61" s="662"/>
      <c r="U61" s="662" t="s">
        <v>1042</v>
      </c>
      <c r="V61" s="662"/>
      <c r="W61" s="662"/>
      <c r="X61" s="662"/>
      <c r="Y61" s="662" t="s">
        <v>1043</v>
      </c>
      <c r="Z61" s="662"/>
      <c r="AA61" s="662"/>
      <c r="AB61" s="662"/>
      <c r="AC61" s="662" t="s">
        <v>1044</v>
      </c>
      <c r="AD61" s="662"/>
      <c r="AE61" s="662"/>
      <c r="AF61" s="662"/>
      <c r="AG61" s="754" t="s">
        <v>755</v>
      </c>
      <c r="AH61" s="754"/>
      <c r="AI61" s="754"/>
      <c r="AJ61" s="754"/>
      <c r="AK61" s="754"/>
      <c r="AL61" s="754"/>
      <c r="AM61" s="755" t="s">
        <v>903</v>
      </c>
      <c r="AN61" s="755"/>
      <c r="AO61" s="755"/>
      <c r="AP61" s="755"/>
      <c r="AQ61" s="755"/>
      <c r="AR61" s="755"/>
      <c r="AS61" s="753" t="s">
        <v>1045</v>
      </c>
      <c r="AT61" s="753"/>
      <c r="AU61" s="753"/>
      <c r="AV61" s="753"/>
      <c r="AW61" s="753" t="s">
        <v>1046</v>
      </c>
      <c r="AX61" s="753"/>
      <c r="AY61" s="753"/>
      <c r="AZ61" s="753"/>
      <c r="BA61" s="753" t="s">
        <v>1047</v>
      </c>
      <c r="BB61" s="753"/>
      <c r="BC61" s="753"/>
      <c r="BD61" s="753"/>
      <c r="BE61" s="753" t="s">
        <v>1048</v>
      </c>
      <c r="BF61" s="753"/>
      <c r="BG61" s="753"/>
      <c r="BH61" s="795"/>
    </row>
    <row r="62" ht="15.95" customHeight="1" spans="1:60">
      <c r="A62" s="657" t="str">
        <f>IF(目录!G2="中文",对照!Z81,IF(目录!G2="English",对照!AA81,对照!Z81))</f>
        <v>速度</v>
      </c>
      <c r="B62" s="658"/>
      <c r="C62" s="658"/>
      <c r="D62" s="658"/>
      <c r="E62" s="696" t="s">
        <v>905</v>
      </c>
      <c r="F62" s="696"/>
      <c r="G62" s="696"/>
      <c r="H62" s="696"/>
      <c r="I62" s="662" t="s">
        <v>1049</v>
      </c>
      <c r="J62" s="662"/>
      <c r="K62" s="662"/>
      <c r="L62" s="662"/>
      <c r="M62" s="662" t="s">
        <v>1050</v>
      </c>
      <c r="N62" s="662"/>
      <c r="O62" s="662"/>
      <c r="P62" s="662"/>
      <c r="Q62" s="662" t="s">
        <v>1051</v>
      </c>
      <c r="R62" s="662"/>
      <c r="S62" s="662"/>
      <c r="T62" s="662"/>
      <c r="U62" s="662" t="s">
        <v>1052</v>
      </c>
      <c r="V62" s="662"/>
      <c r="W62" s="662"/>
      <c r="X62" s="662"/>
      <c r="Y62" s="662" t="s">
        <v>1053</v>
      </c>
      <c r="Z62" s="662"/>
      <c r="AA62" s="662"/>
      <c r="AB62" s="662"/>
      <c r="AC62" s="662" t="s">
        <v>1054</v>
      </c>
      <c r="AD62" s="662"/>
      <c r="AE62" s="662"/>
      <c r="AF62" s="662"/>
      <c r="AG62" s="754" t="s">
        <v>1055</v>
      </c>
      <c r="AH62" s="754"/>
      <c r="AI62" s="754"/>
      <c r="AJ62" s="754"/>
      <c r="AK62" s="754"/>
      <c r="AL62" s="754"/>
      <c r="AM62" s="755" t="s">
        <v>1056</v>
      </c>
      <c r="AN62" s="755"/>
      <c r="AO62" s="755"/>
      <c r="AP62" s="755"/>
      <c r="AQ62" s="755"/>
      <c r="AR62" s="755"/>
      <c r="AS62" s="753" t="s">
        <v>1057</v>
      </c>
      <c r="AT62" s="753"/>
      <c r="AU62" s="753"/>
      <c r="AV62" s="753"/>
      <c r="AW62" s="753" t="s">
        <v>1058</v>
      </c>
      <c r="AX62" s="753"/>
      <c r="AY62" s="753"/>
      <c r="AZ62" s="753"/>
      <c r="BA62" s="753" t="s">
        <v>1059</v>
      </c>
      <c r="BB62" s="753"/>
      <c r="BC62" s="753"/>
      <c r="BD62" s="753"/>
      <c r="BE62" s="753" t="s">
        <v>1060</v>
      </c>
      <c r="BF62" s="753"/>
      <c r="BG62" s="753"/>
      <c r="BH62" s="795"/>
    </row>
    <row r="63" ht="15.95" customHeight="1" spans="1:60">
      <c r="A63" s="657" t="str">
        <f>IF(目录!G2="中文",对照!Z82,IF(目录!G2="English",对照!AA82,对照!Z82))</f>
        <v>位置</v>
      </c>
      <c r="B63" s="658"/>
      <c r="C63" s="658"/>
      <c r="D63" s="658"/>
      <c r="E63" s="696" t="s">
        <v>905</v>
      </c>
      <c r="F63" s="696"/>
      <c r="G63" s="696"/>
      <c r="H63" s="696"/>
      <c r="I63" s="662" t="s">
        <v>1061</v>
      </c>
      <c r="J63" s="662"/>
      <c r="K63" s="662"/>
      <c r="L63" s="662"/>
      <c r="M63" s="662" t="s">
        <v>1062</v>
      </c>
      <c r="N63" s="662"/>
      <c r="O63" s="662"/>
      <c r="P63" s="662"/>
      <c r="Q63" s="662" t="s">
        <v>1063</v>
      </c>
      <c r="R63" s="662"/>
      <c r="S63" s="662"/>
      <c r="T63" s="662"/>
      <c r="U63" s="662" t="s">
        <v>1064</v>
      </c>
      <c r="V63" s="662"/>
      <c r="W63" s="662"/>
      <c r="X63" s="662"/>
      <c r="Y63" s="662" t="s">
        <v>1065</v>
      </c>
      <c r="Z63" s="662"/>
      <c r="AA63" s="662"/>
      <c r="AB63" s="662"/>
      <c r="AC63" s="662" t="s">
        <v>1066</v>
      </c>
      <c r="AD63" s="662"/>
      <c r="AE63" s="662"/>
      <c r="AF63" s="662"/>
      <c r="AG63" s="754" t="s">
        <v>765</v>
      </c>
      <c r="AH63" s="754"/>
      <c r="AI63" s="754"/>
      <c r="AJ63" s="754"/>
      <c r="AK63" s="754"/>
      <c r="AL63" s="754"/>
      <c r="AM63" s="755" t="s">
        <v>903</v>
      </c>
      <c r="AN63" s="755"/>
      <c r="AO63" s="755"/>
      <c r="AP63" s="755"/>
      <c r="AQ63" s="755"/>
      <c r="AR63" s="755"/>
      <c r="AS63" s="753" t="s">
        <v>1067</v>
      </c>
      <c r="AT63" s="753"/>
      <c r="AU63" s="753"/>
      <c r="AV63" s="753"/>
      <c r="AW63" s="753" t="s">
        <v>1068</v>
      </c>
      <c r="AX63" s="753"/>
      <c r="AY63" s="753"/>
      <c r="AZ63" s="753"/>
      <c r="BA63" s="753" t="s">
        <v>1069</v>
      </c>
      <c r="BB63" s="753"/>
      <c r="BC63" s="753"/>
      <c r="BD63" s="753"/>
      <c r="BE63" s="753" t="s">
        <v>1070</v>
      </c>
      <c r="BF63" s="753"/>
      <c r="BG63" s="753"/>
      <c r="BH63" s="795"/>
    </row>
    <row r="64" ht="15.95" customHeight="1" spans="1:60">
      <c r="A64" s="697" t="s">
        <v>259</v>
      </c>
      <c r="B64" s="698"/>
      <c r="C64" s="698"/>
      <c r="D64" s="698"/>
      <c r="E64" s="698"/>
      <c r="F64" s="698"/>
      <c r="G64" s="699"/>
      <c r="H64" s="700"/>
      <c r="I64" s="700"/>
      <c r="J64" s="700"/>
      <c r="K64" s="700"/>
      <c r="L64" s="700"/>
      <c r="M64" s="718"/>
      <c r="N64" s="719" t="s">
        <v>894</v>
      </c>
      <c r="O64" s="720"/>
      <c r="P64" s="721"/>
      <c r="Q64" s="737" t="s">
        <v>1071</v>
      </c>
      <c r="R64" s="738"/>
      <c r="S64" s="738"/>
      <c r="T64" s="738"/>
      <c r="U64" s="738"/>
      <c r="V64" s="739"/>
      <c r="W64" s="699"/>
      <c r="X64" s="700"/>
      <c r="Y64" s="700"/>
      <c r="Z64" s="700"/>
      <c r="AA64" s="700"/>
      <c r="AB64" s="700"/>
      <c r="AC64" s="718"/>
      <c r="AD64" s="719" t="s">
        <v>894</v>
      </c>
      <c r="AE64" s="720"/>
      <c r="AF64" s="721"/>
      <c r="AG64" s="754" t="s">
        <v>759</v>
      </c>
      <c r="AH64" s="754"/>
      <c r="AI64" s="754"/>
      <c r="AJ64" s="754"/>
      <c r="AK64" s="754"/>
      <c r="AL64" s="754"/>
      <c r="AM64" s="755" t="s">
        <v>900</v>
      </c>
      <c r="AN64" s="755"/>
      <c r="AO64" s="755"/>
      <c r="AP64" s="755"/>
      <c r="AQ64" s="755"/>
      <c r="AR64" s="755"/>
      <c r="AS64" s="753" t="s">
        <v>1072</v>
      </c>
      <c r="AT64" s="753"/>
      <c r="AU64" s="753"/>
      <c r="AV64" s="753"/>
      <c r="AW64" s="753" t="s">
        <v>1073</v>
      </c>
      <c r="AX64" s="753"/>
      <c r="AY64" s="753"/>
      <c r="AZ64" s="753"/>
      <c r="BA64" s="753" t="s">
        <v>1074</v>
      </c>
      <c r="BB64" s="753"/>
      <c r="BC64" s="753"/>
      <c r="BD64" s="753"/>
      <c r="BE64" s="753" t="s">
        <v>1075</v>
      </c>
      <c r="BF64" s="753"/>
      <c r="BG64" s="753"/>
      <c r="BH64" s="795"/>
    </row>
    <row r="65" ht="15.95" customHeight="1" spans="1:60">
      <c r="A65" s="697" t="s">
        <v>328</v>
      </c>
      <c r="B65" s="698"/>
      <c r="C65" s="698"/>
      <c r="D65" s="698"/>
      <c r="E65" s="698"/>
      <c r="F65" s="698"/>
      <c r="G65" s="699"/>
      <c r="H65" s="700"/>
      <c r="I65" s="700"/>
      <c r="J65" s="700"/>
      <c r="K65" s="700"/>
      <c r="L65" s="700"/>
      <c r="M65" s="718"/>
      <c r="N65" s="719" t="s">
        <v>894</v>
      </c>
      <c r="O65" s="720"/>
      <c r="P65" s="721"/>
      <c r="Q65" s="737"/>
      <c r="R65" s="738"/>
      <c r="S65" s="738"/>
      <c r="T65" s="738"/>
      <c r="U65" s="738"/>
      <c r="V65" s="738"/>
      <c r="W65" s="738"/>
      <c r="X65" s="738"/>
      <c r="Y65" s="738"/>
      <c r="Z65" s="738"/>
      <c r="AA65" s="738"/>
      <c r="AB65" s="738"/>
      <c r="AC65" s="738"/>
      <c r="AD65" s="738"/>
      <c r="AE65" s="738"/>
      <c r="AF65" s="739"/>
      <c r="AG65" s="798" t="s">
        <v>1076</v>
      </c>
      <c r="AH65" s="799"/>
      <c r="AI65" s="799"/>
      <c r="AJ65" s="799"/>
      <c r="AK65" s="799"/>
      <c r="AL65" s="799"/>
      <c r="AM65" s="799"/>
      <c r="AN65" s="799"/>
      <c r="AO65" s="799"/>
      <c r="AP65" s="799"/>
      <c r="AQ65" s="799"/>
      <c r="AR65" s="799"/>
      <c r="AS65" s="799"/>
      <c r="AT65" s="799"/>
      <c r="AU65" s="799"/>
      <c r="AV65" s="799"/>
      <c r="AW65" s="799"/>
      <c r="AX65" s="799"/>
      <c r="AY65" s="799"/>
      <c r="AZ65" s="799"/>
      <c r="BA65" s="799"/>
      <c r="BB65" s="799"/>
      <c r="BC65" s="799"/>
      <c r="BD65" s="799"/>
      <c r="BE65" s="799"/>
      <c r="BF65" s="799"/>
      <c r="BG65" s="799"/>
      <c r="BH65" s="862"/>
    </row>
    <row r="66" ht="15.95" customHeight="1" spans="1:60">
      <c r="A66" s="797" t="s">
        <v>1077</v>
      </c>
      <c r="B66" s="760"/>
      <c r="C66" s="760"/>
      <c r="D66" s="760"/>
      <c r="E66" s="760"/>
      <c r="F66" s="760"/>
      <c r="G66" s="760"/>
      <c r="H66" s="760"/>
      <c r="I66" s="760"/>
      <c r="J66" s="760"/>
      <c r="K66" s="760"/>
      <c r="L66" s="760"/>
      <c r="M66" s="760"/>
      <c r="N66" s="760"/>
      <c r="O66" s="760"/>
      <c r="P66" s="760"/>
      <c r="Q66" s="760"/>
      <c r="R66" s="760"/>
      <c r="S66" s="760"/>
      <c r="T66" s="760"/>
      <c r="U66" s="760"/>
      <c r="V66" s="760"/>
      <c r="W66" s="760"/>
      <c r="X66" s="760"/>
      <c r="Y66" s="760"/>
      <c r="Z66" s="760"/>
      <c r="AA66" s="760"/>
      <c r="AB66" s="760"/>
      <c r="AC66" s="760"/>
      <c r="AD66" s="760"/>
      <c r="AE66" s="760"/>
      <c r="AF66" s="760"/>
      <c r="AG66" s="737" t="s">
        <v>1078</v>
      </c>
      <c r="AH66" s="738"/>
      <c r="AI66" s="738"/>
      <c r="AJ66" s="738"/>
      <c r="AK66" s="738"/>
      <c r="AL66" s="738"/>
      <c r="AM66" s="738"/>
      <c r="AN66" s="738"/>
      <c r="AO66" s="738"/>
      <c r="AP66" s="738"/>
      <c r="AQ66" s="738"/>
      <c r="AR66" s="738"/>
      <c r="AS66" s="739"/>
      <c r="AT66" s="798"/>
      <c r="AU66" s="799"/>
      <c r="AV66" s="799"/>
      <c r="AW66" s="799"/>
      <c r="AX66" s="799"/>
      <c r="AY66" s="799"/>
      <c r="AZ66" s="799"/>
      <c r="BA66" s="799"/>
      <c r="BB66" s="799"/>
      <c r="BC66" s="799"/>
      <c r="BD66" s="799"/>
      <c r="BE66" s="799"/>
      <c r="BF66" s="799"/>
      <c r="BG66" s="799"/>
      <c r="BH66" s="862"/>
    </row>
    <row r="67" ht="15.95" customHeight="1" spans="1:60">
      <c r="A67" s="697" t="s">
        <v>1079</v>
      </c>
      <c r="B67" s="698"/>
      <c r="C67" s="698"/>
      <c r="D67" s="698"/>
      <c r="E67" s="698"/>
      <c r="F67" s="698"/>
      <c r="G67" s="798"/>
      <c r="H67" s="799"/>
      <c r="I67" s="799"/>
      <c r="J67" s="799"/>
      <c r="K67" s="799"/>
      <c r="L67" s="799"/>
      <c r="M67" s="799"/>
      <c r="N67" s="799"/>
      <c r="O67" s="799"/>
      <c r="P67" s="835"/>
      <c r="Q67" s="737" t="s">
        <v>1080</v>
      </c>
      <c r="R67" s="738"/>
      <c r="S67" s="738"/>
      <c r="T67" s="738"/>
      <c r="U67" s="738"/>
      <c r="V67" s="739"/>
      <c r="W67" s="699"/>
      <c r="X67" s="700"/>
      <c r="Y67" s="700"/>
      <c r="Z67" s="700"/>
      <c r="AA67" s="700"/>
      <c r="AB67" s="700"/>
      <c r="AC67" s="718"/>
      <c r="AD67" s="719" t="s">
        <v>894</v>
      </c>
      <c r="AE67" s="720"/>
      <c r="AF67" s="721"/>
      <c r="AG67" s="737" t="s">
        <v>1081</v>
      </c>
      <c r="AH67" s="738"/>
      <c r="AI67" s="738"/>
      <c r="AJ67" s="738"/>
      <c r="AK67" s="738"/>
      <c r="AL67" s="738"/>
      <c r="AM67" s="738"/>
      <c r="AN67" s="738"/>
      <c r="AO67" s="738"/>
      <c r="AP67" s="738"/>
      <c r="AQ67" s="738"/>
      <c r="AR67" s="738"/>
      <c r="AS67" s="739"/>
      <c r="AT67" s="798"/>
      <c r="AU67" s="799"/>
      <c r="AV67" s="799"/>
      <c r="AW67" s="799"/>
      <c r="AX67" s="799"/>
      <c r="AY67" s="799"/>
      <c r="AZ67" s="799"/>
      <c r="BA67" s="799"/>
      <c r="BB67" s="799"/>
      <c r="BC67" s="799"/>
      <c r="BD67" s="799"/>
      <c r="BE67" s="799"/>
      <c r="BF67" s="799"/>
      <c r="BG67" s="799"/>
      <c r="BH67" s="862"/>
    </row>
    <row r="68" ht="15.95" customHeight="1" spans="1:60">
      <c r="A68" s="697" t="s">
        <v>1082</v>
      </c>
      <c r="B68" s="698"/>
      <c r="C68" s="698"/>
      <c r="D68" s="698"/>
      <c r="E68" s="698"/>
      <c r="F68" s="698"/>
      <c r="G68" s="699"/>
      <c r="H68" s="700"/>
      <c r="I68" s="700"/>
      <c r="J68" s="700"/>
      <c r="K68" s="700"/>
      <c r="L68" s="700"/>
      <c r="M68" s="718"/>
      <c r="N68" s="719" t="s">
        <v>900</v>
      </c>
      <c r="O68" s="720"/>
      <c r="P68" s="721"/>
      <c r="Q68" s="737" t="s">
        <v>1083</v>
      </c>
      <c r="R68" s="738"/>
      <c r="S68" s="738"/>
      <c r="T68" s="738"/>
      <c r="U68" s="738"/>
      <c r="V68" s="739"/>
      <c r="W68" s="699"/>
      <c r="X68" s="700"/>
      <c r="Y68" s="700"/>
      <c r="Z68" s="700"/>
      <c r="AA68" s="700"/>
      <c r="AB68" s="700"/>
      <c r="AC68" s="718"/>
      <c r="AD68" s="719" t="s">
        <v>903</v>
      </c>
      <c r="AE68" s="720"/>
      <c r="AF68" s="721"/>
      <c r="AG68" s="709"/>
      <c r="AH68" s="733"/>
      <c r="AI68" s="733"/>
      <c r="AJ68" s="733"/>
      <c r="AK68" s="733"/>
      <c r="AL68" s="733"/>
      <c r="AM68" s="733"/>
      <c r="AN68" s="854"/>
      <c r="AO68" s="648" t="s">
        <v>755</v>
      </c>
      <c r="AP68" s="648"/>
      <c r="AQ68" s="648"/>
      <c r="AR68" s="648"/>
      <c r="AS68" s="648"/>
      <c r="AT68" s="648" t="s">
        <v>757</v>
      </c>
      <c r="AU68" s="648"/>
      <c r="AV68" s="648"/>
      <c r="AW68" s="648"/>
      <c r="AX68" s="648"/>
      <c r="AY68" s="648" t="s">
        <v>1084</v>
      </c>
      <c r="AZ68" s="648"/>
      <c r="BA68" s="648"/>
      <c r="BB68" s="648"/>
      <c r="BC68" s="648"/>
      <c r="BD68" s="648" t="s">
        <v>870</v>
      </c>
      <c r="BE68" s="648"/>
      <c r="BF68" s="648"/>
      <c r="BG68" s="648"/>
      <c r="BH68" s="768"/>
    </row>
    <row r="69" ht="15.95" customHeight="1" spans="1:60">
      <c r="A69" s="697" t="s">
        <v>1085</v>
      </c>
      <c r="B69" s="698"/>
      <c r="C69" s="698"/>
      <c r="D69" s="698"/>
      <c r="E69" s="698"/>
      <c r="F69" s="698"/>
      <c r="G69" s="699"/>
      <c r="H69" s="700"/>
      <c r="I69" s="700"/>
      <c r="J69" s="700"/>
      <c r="K69" s="700"/>
      <c r="L69" s="700"/>
      <c r="M69" s="718"/>
      <c r="N69" s="719" t="s">
        <v>905</v>
      </c>
      <c r="O69" s="720"/>
      <c r="P69" s="721"/>
      <c r="Q69" s="737"/>
      <c r="R69" s="738"/>
      <c r="S69" s="738"/>
      <c r="T69" s="738"/>
      <c r="U69" s="738"/>
      <c r="V69" s="738"/>
      <c r="W69" s="738"/>
      <c r="X69" s="738"/>
      <c r="Y69" s="738"/>
      <c r="Z69" s="738"/>
      <c r="AA69" s="738"/>
      <c r="AB69" s="738"/>
      <c r="AC69" s="738"/>
      <c r="AD69" s="738"/>
      <c r="AE69" s="738"/>
      <c r="AF69" s="739"/>
      <c r="AG69" s="855" t="s">
        <v>565</v>
      </c>
      <c r="AH69" s="856"/>
      <c r="AI69" s="856"/>
      <c r="AJ69" s="856"/>
      <c r="AK69" s="856"/>
      <c r="AL69" s="856"/>
      <c r="AM69" s="856"/>
      <c r="AN69" s="857"/>
      <c r="AO69" s="719" t="s">
        <v>903</v>
      </c>
      <c r="AP69" s="720"/>
      <c r="AQ69" s="720"/>
      <c r="AR69" s="720"/>
      <c r="AS69" s="721"/>
      <c r="AT69" s="719" t="s">
        <v>905</v>
      </c>
      <c r="AU69" s="720"/>
      <c r="AV69" s="720"/>
      <c r="AW69" s="720"/>
      <c r="AX69" s="721"/>
      <c r="AY69" s="719" t="s">
        <v>900</v>
      </c>
      <c r="AZ69" s="720"/>
      <c r="BA69" s="720"/>
      <c r="BB69" s="720"/>
      <c r="BC69" s="721"/>
      <c r="BD69" s="719" t="s">
        <v>894</v>
      </c>
      <c r="BE69" s="720"/>
      <c r="BF69" s="720"/>
      <c r="BG69" s="720"/>
      <c r="BH69" s="863"/>
    </row>
    <row r="70" spans="1:60">
      <c r="A70" s="800" t="str">
        <f>IF(目录!G2="中文",对照!Z79,IF(目录!G2="English",对照!AA79,对照!Z79))</f>
        <v>保压</v>
      </c>
      <c r="B70" s="801"/>
      <c r="C70" s="801"/>
      <c r="D70" s="801"/>
      <c r="E70" s="801"/>
      <c r="F70" s="801"/>
      <c r="G70" s="801"/>
      <c r="H70" s="801"/>
      <c r="I70" s="801"/>
      <c r="J70" s="801"/>
      <c r="K70" s="801"/>
      <c r="L70" s="801"/>
      <c r="M70" s="801"/>
      <c r="N70" s="801"/>
      <c r="O70" s="801"/>
      <c r="P70" s="801"/>
      <c r="Q70" s="801"/>
      <c r="R70" s="801"/>
      <c r="S70" s="801"/>
      <c r="T70" s="801"/>
      <c r="U70" s="801"/>
      <c r="V70" s="801"/>
      <c r="W70" s="801"/>
      <c r="X70" s="801"/>
      <c r="Y70" s="801"/>
      <c r="Z70" s="801"/>
      <c r="AA70" s="801"/>
      <c r="AB70" s="801"/>
      <c r="AC70" s="801"/>
      <c r="AD70" s="801"/>
      <c r="AE70" s="801"/>
      <c r="AF70" s="801"/>
      <c r="AG70" s="648" t="s">
        <v>1086</v>
      </c>
      <c r="AH70" s="648"/>
      <c r="AI70" s="648"/>
      <c r="AJ70" s="648"/>
      <c r="AK70" s="648"/>
      <c r="AL70" s="648"/>
      <c r="AM70" s="648"/>
      <c r="AN70" s="648"/>
      <c r="AO70" s="860" t="s">
        <v>1087</v>
      </c>
      <c r="AP70" s="861"/>
      <c r="AQ70" s="861"/>
      <c r="AR70" s="861"/>
      <c r="AS70" s="861"/>
      <c r="AT70" s="860" t="s">
        <v>1088</v>
      </c>
      <c r="AU70" s="861"/>
      <c r="AV70" s="861"/>
      <c r="AW70" s="861"/>
      <c r="AX70" s="861"/>
      <c r="AY70" s="860" t="s">
        <v>1089</v>
      </c>
      <c r="AZ70" s="861"/>
      <c r="BA70" s="861"/>
      <c r="BB70" s="861"/>
      <c r="BC70" s="861"/>
      <c r="BD70" s="860" t="s">
        <v>1090</v>
      </c>
      <c r="BE70" s="861"/>
      <c r="BF70" s="861"/>
      <c r="BG70" s="861"/>
      <c r="BH70" s="864"/>
    </row>
    <row r="71" spans="1:60">
      <c r="A71" s="802"/>
      <c r="B71" s="742"/>
      <c r="C71" s="742"/>
      <c r="D71" s="748"/>
      <c r="E71" s="723" t="s">
        <v>565</v>
      </c>
      <c r="F71" s="724"/>
      <c r="G71" s="724"/>
      <c r="H71" s="740"/>
      <c r="I71" s="723">
        <v>1</v>
      </c>
      <c r="J71" s="724"/>
      <c r="K71" s="724"/>
      <c r="L71" s="740"/>
      <c r="M71" s="723">
        <v>2</v>
      </c>
      <c r="N71" s="724"/>
      <c r="O71" s="724"/>
      <c r="P71" s="724"/>
      <c r="Q71" s="740"/>
      <c r="R71" s="723">
        <v>3</v>
      </c>
      <c r="S71" s="724"/>
      <c r="T71" s="724"/>
      <c r="U71" s="724"/>
      <c r="V71" s="740"/>
      <c r="W71" s="723">
        <v>4</v>
      </c>
      <c r="X71" s="724"/>
      <c r="Y71" s="724"/>
      <c r="Z71" s="724"/>
      <c r="AA71" s="740"/>
      <c r="AB71" s="723">
        <v>5</v>
      </c>
      <c r="AC71" s="724"/>
      <c r="AD71" s="724"/>
      <c r="AE71" s="724"/>
      <c r="AF71" s="740"/>
      <c r="AG71" s="807" t="s">
        <v>1091</v>
      </c>
      <c r="AH71" s="811"/>
      <c r="AI71" s="811"/>
      <c r="AJ71" s="811"/>
      <c r="AK71" s="811"/>
      <c r="AL71" s="811"/>
      <c r="AM71" s="811"/>
      <c r="AN71" s="815"/>
      <c r="AO71" s="860" t="s">
        <v>1092</v>
      </c>
      <c r="AP71" s="861"/>
      <c r="AQ71" s="861"/>
      <c r="AR71" s="861"/>
      <c r="AS71" s="861"/>
      <c r="AT71" s="753" t="s">
        <v>1093</v>
      </c>
      <c r="AU71" s="753"/>
      <c r="AV71" s="753"/>
      <c r="AW71" s="753"/>
      <c r="AX71" s="753"/>
      <c r="AY71" s="861" t="s">
        <v>1094</v>
      </c>
      <c r="AZ71" s="861"/>
      <c r="BA71" s="861"/>
      <c r="BB71" s="861"/>
      <c r="BC71" s="861"/>
      <c r="BD71" s="860" t="s">
        <v>1095</v>
      </c>
      <c r="BE71" s="861"/>
      <c r="BF71" s="861"/>
      <c r="BG71" s="861"/>
      <c r="BH71" s="864"/>
    </row>
    <row r="72" spans="1:60">
      <c r="A72" s="803" t="str">
        <f>IF(目录!G2="中文",对照!Z80,IF(目录!G2="English",对照!AA80,对照!Z80))</f>
        <v>压力</v>
      </c>
      <c r="B72" s="724"/>
      <c r="C72" s="724"/>
      <c r="D72" s="740"/>
      <c r="E72" s="696" t="s">
        <v>903</v>
      </c>
      <c r="F72" s="696"/>
      <c r="G72" s="696"/>
      <c r="H72" s="696"/>
      <c r="I72" s="809" t="s">
        <v>1096</v>
      </c>
      <c r="J72" s="809"/>
      <c r="K72" s="809"/>
      <c r="L72" s="809"/>
      <c r="M72" s="810" t="s">
        <v>1097</v>
      </c>
      <c r="N72" s="836"/>
      <c r="O72" s="836"/>
      <c r="P72" s="836"/>
      <c r="Q72" s="846"/>
      <c r="R72" s="810" t="s">
        <v>1098</v>
      </c>
      <c r="S72" s="836"/>
      <c r="T72" s="836"/>
      <c r="U72" s="836"/>
      <c r="V72" s="846"/>
      <c r="W72" s="810" t="s">
        <v>1099</v>
      </c>
      <c r="X72" s="836"/>
      <c r="Y72" s="836"/>
      <c r="Z72" s="836"/>
      <c r="AA72" s="846"/>
      <c r="AB72" s="810" t="s">
        <v>1100</v>
      </c>
      <c r="AC72" s="836"/>
      <c r="AD72" s="836"/>
      <c r="AE72" s="836"/>
      <c r="AF72" s="846"/>
      <c r="AG72" s="737" t="s">
        <v>1101</v>
      </c>
      <c r="AH72" s="738"/>
      <c r="AI72" s="738"/>
      <c r="AJ72" s="738"/>
      <c r="AK72" s="738"/>
      <c r="AL72" s="738"/>
      <c r="AM72" s="738"/>
      <c r="AN72" s="738"/>
      <c r="AO72" s="738"/>
      <c r="AP72" s="738"/>
      <c r="AQ72" s="738"/>
      <c r="AR72" s="738"/>
      <c r="AS72" s="739"/>
      <c r="AT72" s="667"/>
      <c r="AU72" s="668"/>
      <c r="AV72" s="668"/>
      <c r="AW72" s="668"/>
      <c r="AX72" s="668"/>
      <c r="AY72" s="668"/>
      <c r="AZ72" s="668"/>
      <c r="BA72" s="668"/>
      <c r="BB72" s="668"/>
      <c r="BC72" s="668"/>
      <c r="BD72" s="668"/>
      <c r="BE72" s="710"/>
      <c r="BF72" s="865" t="s">
        <v>894</v>
      </c>
      <c r="BG72" s="866"/>
      <c r="BH72" s="867"/>
    </row>
    <row r="73" spans="1:60">
      <c r="A73" s="803" t="str">
        <f>IF(目录!G2="中文",对照!Z81,IF(目录!G2="English",对照!AA81,对照!Z81))</f>
        <v>速度</v>
      </c>
      <c r="B73" s="724"/>
      <c r="C73" s="724"/>
      <c r="D73" s="740"/>
      <c r="E73" s="696" t="s">
        <v>905</v>
      </c>
      <c r="F73" s="696"/>
      <c r="G73" s="696"/>
      <c r="H73" s="696"/>
      <c r="I73" s="809" t="s">
        <v>1102</v>
      </c>
      <c r="J73" s="809"/>
      <c r="K73" s="809"/>
      <c r="L73" s="809"/>
      <c r="M73" s="810" t="s">
        <v>1103</v>
      </c>
      <c r="N73" s="836"/>
      <c r="O73" s="836"/>
      <c r="P73" s="836"/>
      <c r="Q73" s="846"/>
      <c r="R73" s="810" t="s">
        <v>1104</v>
      </c>
      <c r="S73" s="836"/>
      <c r="T73" s="836"/>
      <c r="U73" s="836"/>
      <c r="V73" s="846"/>
      <c r="W73" s="810" t="s">
        <v>1105</v>
      </c>
      <c r="X73" s="836"/>
      <c r="Y73" s="836"/>
      <c r="Z73" s="836"/>
      <c r="AA73" s="846"/>
      <c r="AB73" s="810" t="s">
        <v>1106</v>
      </c>
      <c r="AC73" s="836"/>
      <c r="AD73" s="836"/>
      <c r="AE73" s="836"/>
      <c r="AF73" s="846"/>
      <c r="AG73" s="737" t="s">
        <v>1107</v>
      </c>
      <c r="AH73" s="738"/>
      <c r="AI73" s="738"/>
      <c r="AJ73" s="738"/>
      <c r="AK73" s="738"/>
      <c r="AL73" s="738"/>
      <c r="AM73" s="738"/>
      <c r="AN73" s="738"/>
      <c r="AO73" s="738"/>
      <c r="AP73" s="738"/>
      <c r="AQ73" s="738"/>
      <c r="AR73" s="738"/>
      <c r="AS73" s="739"/>
      <c r="AT73" s="667"/>
      <c r="AU73" s="668"/>
      <c r="AV73" s="668"/>
      <c r="AW73" s="668"/>
      <c r="AX73" s="668"/>
      <c r="AY73" s="668"/>
      <c r="AZ73" s="668"/>
      <c r="BA73" s="668"/>
      <c r="BB73" s="668"/>
      <c r="BC73" s="668"/>
      <c r="BD73" s="668"/>
      <c r="BE73" s="710"/>
      <c r="BF73" s="865" t="s">
        <v>900</v>
      </c>
      <c r="BG73" s="866"/>
      <c r="BH73" s="867"/>
    </row>
    <row r="74" spans="1:60">
      <c r="A74" s="803" t="str">
        <f>IF(目录!G2="中文",对照!Z145,IF(目录!G2="English",对照!AA145,对照!Z145))</f>
        <v>时间</v>
      </c>
      <c r="B74" s="724"/>
      <c r="C74" s="724"/>
      <c r="D74" s="740"/>
      <c r="E74" s="804" t="s">
        <v>894</v>
      </c>
      <c r="F74" s="805"/>
      <c r="G74" s="805"/>
      <c r="H74" s="806"/>
      <c r="I74" s="809" t="s">
        <v>1108</v>
      </c>
      <c r="J74" s="809"/>
      <c r="K74" s="809"/>
      <c r="L74" s="809"/>
      <c r="M74" s="810" t="s">
        <v>1109</v>
      </c>
      <c r="N74" s="836"/>
      <c r="O74" s="836"/>
      <c r="P74" s="836"/>
      <c r="Q74" s="846"/>
      <c r="R74" s="810" t="s">
        <v>1110</v>
      </c>
      <c r="S74" s="836"/>
      <c r="T74" s="836"/>
      <c r="U74" s="836"/>
      <c r="V74" s="846"/>
      <c r="W74" s="810" t="s">
        <v>1111</v>
      </c>
      <c r="X74" s="836"/>
      <c r="Y74" s="836"/>
      <c r="Z74" s="836"/>
      <c r="AA74" s="846"/>
      <c r="AB74" s="810" t="s">
        <v>1112</v>
      </c>
      <c r="AC74" s="836"/>
      <c r="AD74" s="836"/>
      <c r="AE74" s="836"/>
      <c r="AF74" s="846"/>
      <c r="AG74" s="858"/>
      <c r="AH74" s="859"/>
      <c r="AI74" s="859"/>
      <c r="AJ74" s="859"/>
      <c r="AK74" s="859"/>
      <c r="AL74" s="859"/>
      <c r="AM74" s="859"/>
      <c r="AN74" s="859"/>
      <c r="AO74" s="859"/>
      <c r="AP74" s="859"/>
      <c r="AQ74" s="859"/>
      <c r="AR74" s="859"/>
      <c r="AS74" s="859"/>
      <c r="AT74" s="859"/>
      <c r="AU74" s="859"/>
      <c r="AV74" s="859"/>
      <c r="AW74" s="859"/>
      <c r="AX74" s="859"/>
      <c r="AY74" s="859"/>
      <c r="AZ74" s="859"/>
      <c r="BA74" s="859"/>
      <c r="BB74" s="859"/>
      <c r="BC74" s="859"/>
      <c r="BD74" s="859"/>
      <c r="BE74" s="859"/>
      <c r="BF74" s="859"/>
      <c r="BG74" s="859"/>
      <c r="BH74" s="868"/>
    </row>
    <row r="75" spans="1:60">
      <c r="A75" s="802" t="s">
        <v>1113</v>
      </c>
      <c r="B75" s="742"/>
      <c r="C75" s="742"/>
      <c r="D75" s="742"/>
      <c r="E75" s="742"/>
      <c r="F75" s="742"/>
      <c r="G75" s="742"/>
      <c r="H75" s="742"/>
      <c r="I75" s="742"/>
      <c r="J75" s="742"/>
      <c r="K75" s="742"/>
      <c r="L75" s="742"/>
      <c r="M75" s="742"/>
      <c r="N75" s="742"/>
      <c r="O75" s="742"/>
      <c r="P75" s="742"/>
      <c r="Q75" s="742"/>
      <c r="R75" s="742"/>
      <c r="S75" s="742"/>
      <c r="T75" s="742"/>
      <c r="U75" s="742"/>
      <c r="V75" s="742"/>
      <c r="W75" s="742"/>
      <c r="X75" s="742"/>
      <c r="Y75" s="742"/>
      <c r="Z75" s="742"/>
      <c r="AA75" s="742"/>
      <c r="AB75" s="742"/>
      <c r="AC75" s="742"/>
      <c r="AD75" s="742"/>
      <c r="AE75" s="742"/>
      <c r="AF75" s="742"/>
      <c r="AG75" s="742"/>
      <c r="AH75" s="742"/>
      <c r="AI75" s="742"/>
      <c r="AJ75" s="742"/>
      <c r="AK75" s="742"/>
      <c r="AL75" s="742"/>
      <c r="AM75" s="742"/>
      <c r="AN75" s="742"/>
      <c r="AO75" s="742"/>
      <c r="AP75" s="742"/>
      <c r="AQ75" s="742"/>
      <c r="AR75" s="742"/>
      <c r="AS75" s="742"/>
      <c r="AT75" s="742"/>
      <c r="AU75" s="742"/>
      <c r="AV75" s="742"/>
      <c r="AW75" s="742"/>
      <c r="AX75" s="742"/>
      <c r="AY75" s="742"/>
      <c r="AZ75" s="742"/>
      <c r="BA75" s="742"/>
      <c r="BB75" s="742"/>
      <c r="BC75" s="742"/>
      <c r="BD75" s="742"/>
      <c r="BE75" s="742"/>
      <c r="BF75" s="742"/>
      <c r="BG75" s="742"/>
      <c r="BH75" s="764"/>
    </row>
    <row r="76" ht="15.95" customHeight="1" spans="1:60">
      <c r="A76" s="803" t="str">
        <f>IF(目录!G2="中文",对照!Z30,IF(目录!G2="English",对照!AA30,对照!Z30))</f>
        <v>加热区域</v>
      </c>
      <c r="B76" s="724"/>
      <c r="C76" s="724"/>
      <c r="D76" s="724"/>
      <c r="E76" s="724"/>
      <c r="F76" s="724"/>
      <c r="G76" s="740"/>
      <c r="H76" s="807" t="s">
        <v>1114</v>
      </c>
      <c r="I76" s="811"/>
      <c r="J76" s="811"/>
      <c r="K76" s="815"/>
      <c r="L76" s="807" t="s">
        <v>1115</v>
      </c>
      <c r="M76" s="811"/>
      <c r="N76" s="811"/>
      <c r="O76" s="811"/>
      <c r="P76" s="811"/>
      <c r="Q76" s="807" t="s">
        <v>1116</v>
      </c>
      <c r="R76" s="811"/>
      <c r="S76" s="811"/>
      <c r="T76" s="811"/>
      <c r="U76" s="811"/>
      <c r="V76" s="807" t="s">
        <v>1117</v>
      </c>
      <c r="W76" s="811"/>
      <c r="X76" s="811"/>
      <c r="Y76" s="811"/>
      <c r="Z76" s="811"/>
      <c r="AA76" s="807" t="s">
        <v>1118</v>
      </c>
      <c r="AB76" s="811"/>
      <c r="AC76" s="811"/>
      <c r="AD76" s="811"/>
      <c r="AE76" s="811"/>
      <c r="AF76" s="807" t="s">
        <v>1119</v>
      </c>
      <c r="AG76" s="811"/>
      <c r="AH76" s="811"/>
      <c r="AI76" s="811"/>
      <c r="AJ76" s="811"/>
      <c r="AK76" s="807" t="s">
        <v>1120</v>
      </c>
      <c r="AL76" s="811"/>
      <c r="AM76" s="811"/>
      <c r="AN76" s="811"/>
      <c r="AO76" s="811"/>
      <c r="AP76" s="807" t="s">
        <v>1121</v>
      </c>
      <c r="AQ76" s="811"/>
      <c r="AR76" s="811"/>
      <c r="AS76" s="811"/>
      <c r="AT76" s="811"/>
      <c r="AU76" s="807" t="s">
        <v>1122</v>
      </c>
      <c r="AV76" s="811"/>
      <c r="AW76" s="811"/>
      <c r="AX76" s="811"/>
      <c r="AY76" s="811"/>
      <c r="AZ76" s="807" t="s">
        <v>1123</v>
      </c>
      <c r="BA76" s="811"/>
      <c r="BB76" s="811"/>
      <c r="BC76" s="811"/>
      <c r="BD76" s="811"/>
      <c r="BE76" s="807" t="s">
        <v>565</v>
      </c>
      <c r="BF76" s="811"/>
      <c r="BG76" s="811"/>
      <c r="BH76" s="869"/>
    </row>
    <row r="77" s="633" customFormat="1" ht="15.95" customHeight="1" spans="1:60">
      <c r="A77" s="803" t="str">
        <f>IF(目录!G2="中文",对照!Z31,IF(目录!G2="English",对照!AA31,对照!Z31))</f>
        <v>温度值</v>
      </c>
      <c r="B77" s="724"/>
      <c r="C77" s="724"/>
      <c r="D77" s="724"/>
      <c r="E77" s="724"/>
      <c r="F77" s="724"/>
      <c r="G77" s="740"/>
      <c r="H77" s="687"/>
      <c r="I77" s="670"/>
      <c r="J77" s="670"/>
      <c r="K77" s="688"/>
      <c r="L77" s="687"/>
      <c r="M77" s="670"/>
      <c r="N77" s="670"/>
      <c r="O77" s="670"/>
      <c r="P77" s="670"/>
      <c r="Q77" s="687"/>
      <c r="R77" s="670"/>
      <c r="S77" s="670"/>
      <c r="T77" s="670"/>
      <c r="U77" s="670"/>
      <c r="V77" s="687"/>
      <c r="W77" s="670"/>
      <c r="X77" s="670"/>
      <c r="Y77" s="670"/>
      <c r="Z77" s="670"/>
      <c r="AA77" s="687"/>
      <c r="AB77" s="670"/>
      <c r="AC77" s="670"/>
      <c r="AD77" s="670"/>
      <c r="AE77" s="670"/>
      <c r="AF77" s="687"/>
      <c r="AG77" s="670"/>
      <c r="AH77" s="670"/>
      <c r="AI77" s="670"/>
      <c r="AJ77" s="670"/>
      <c r="AK77" s="687"/>
      <c r="AL77" s="670"/>
      <c r="AM77" s="670"/>
      <c r="AN77" s="670"/>
      <c r="AO77" s="670"/>
      <c r="AP77" s="687"/>
      <c r="AQ77" s="670"/>
      <c r="AR77" s="670"/>
      <c r="AS77" s="670"/>
      <c r="AT77" s="670"/>
      <c r="AU77" s="687"/>
      <c r="AV77" s="670"/>
      <c r="AW77" s="670"/>
      <c r="AX77" s="670"/>
      <c r="AY77" s="670"/>
      <c r="AZ77" s="687"/>
      <c r="BA77" s="670"/>
      <c r="BB77" s="670"/>
      <c r="BC77" s="670"/>
      <c r="BD77" s="670"/>
      <c r="BE77" s="847" t="s">
        <v>896</v>
      </c>
      <c r="BF77" s="848"/>
      <c r="BG77" s="848"/>
      <c r="BH77" s="870"/>
    </row>
    <row r="78" s="633" customFormat="1" ht="15.95" customHeight="1" spans="1:60">
      <c r="A78" s="808" t="s">
        <v>1124</v>
      </c>
      <c r="B78" s="808"/>
      <c r="C78" s="808"/>
      <c r="D78" s="808"/>
      <c r="E78" s="808"/>
      <c r="F78" s="808"/>
      <c r="G78" s="808"/>
      <c r="H78" s="808"/>
      <c r="I78" s="808"/>
      <c r="J78" s="808"/>
      <c r="K78" s="808"/>
      <c r="L78" s="808"/>
      <c r="M78" s="808"/>
      <c r="N78" s="808"/>
      <c r="O78" s="808"/>
      <c r="P78" s="808"/>
      <c r="Q78" s="808"/>
      <c r="R78" s="808"/>
      <c r="S78" s="808"/>
      <c r="T78" s="808"/>
      <c r="U78" s="808"/>
      <c r="V78" s="808"/>
      <c r="W78" s="808"/>
      <c r="X78" s="808"/>
      <c r="Y78" s="808"/>
      <c r="Z78" s="808"/>
      <c r="AA78" s="808"/>
      <c r="AB78" s="808"/>
      <c r="AC78" s="808"/>
      <c r="AD78" s="808"/>
      <c r="AE78" s="808"/>
      <c r="AF78" s="808"/>
      <c r="AG78" s="808"/>
      <c r="AH78" s="808"/>
      <c r="AI78" s="808"/>
      <c r="AJ78" s="808"/>
      <c r="AK78" s="808"/>
      <c r="AL78" s="808"/>
      <c r="AM78" s="808"/>
      <c r="AN78" s="808"/>
      <c r="AO78" s="808"/>
      <c r="AP78" s="808"/>
      <c r="AQ78" s="808"/>
      <c r="AR78" s="808"/>
      <c r="AS78" s="808"/>
      <c r="AT78" s="808"/>
      <c r="AU78" s="808"/>
      <c r="AV78" s="808"/>
      <c r="AW78" s="808"/>
      <c r="AX78" s="808"/>
      <c r="AY78" s="808"/>
      <c r="AZ78" s="808"/>
      <c r="BA78" s="808"/>
      <c r="BB78" s="808"/>
      <c r="BC78" s="808"/>
      <c r="BD78" s="808"/>
      <c r="BE78" s="808"/>
      <c r="BF78" s="808"/>
      <c r="BG78" s="808"/>
      <c r="BH78" s="808"/>
    </row>
    <row r="79" s="633" customFormat="1" ht="15.95" customHeight="1" spans="1:60">
      <c r="A79" s="803" t="s">
        <v>1125</v>
      </c>
      <c r="B79" s="724"/>
      <c r="C79" s="724"/>
      <c r="D79" s="724"/>
      <c r="E79" s="724"/>
      <c r="F79" s="724"/>
      <c r="G79" s="740"/>
      <c r="H79" s="809"/>
      <c r="I79" s="809"/>
      <c r="J79" s="809"/>
      <c r="K79" s="809"/>
      <c r="L79" s="809"/>
      <c r="M79" s="809"/>
      <c r="N79" s="809"/>
      <c r="O79" s="809"/>
      <c r="P79" s="809"/>
      <c r="Q79" s="804" t="s">
        <v>900</v>
      </c>
      <c r="R79" s="805"/>
      <c r="S79" s="805"/>
      <c r="T79" s="806"/>
      <c r="U79" s="809" t="s">
        <v>1126</v>
      </c>
      <c r="V79" s="809"/>
      <c r="W79" s="809"/>
      <c r="X79" s="809"/>
      <c r="Y79" s="809"/>
      <c r="Z79" s="809"/>
      <c r="AA79" s="809"/>
      <c r="AB79" s="809"/>
      <c r="AC79" s="809"/>
      <c r="AD79" s="809"/>
      <c r="AE79" s="809"/>
      <c r="AF79" s="809"/>
      <c r="AG79" s="809"/>
      <c r="AH79" s="809"/>
      <c r="AI79" s="809"/>
      <c r="AJ79" s="809"/>
      <c r="AK79" s="809"/>
      <c r="AL79" s="809"/>
      <c r="AM79" s="809"/>
      <c r="AN79" s="809"/>
      <c r="AO79" s="809"/>
      <c r="AP79" s="809"/>
      <c r="AQ79" s="809"/>
      <c r="AR79" s="809"/>
      <c r="AS79" s="809"/>
      <c r="AT79" s="809"/>
      <c r="AU79" s="809"/>
      <c r="AV79" s="809"/>
      <c r="AW79" s="809"/>
      <c r="AX79" s="809"/>
      <c r="AY79" s="809"/>
      <c r="AZ79" s="809"/>
      <c r="BA79" s="809"/>
      <c r="BB79" s="809"/>
      <c r="BC79" s="809"/>
      <c r="BD79" s="809"/>
      <c r="BE79" s="809"/>
      <c r="BF79" s="809"/>
      <c r="BG79" s="809"/>
      <c r="BH79" s="809"/>
    </row>
    <row r="80" s="633" customFormat="1" ht="15.95" customHeight="1" spans="1:60">
      <c r="A80" s="803" t="s">
        <v>1127</v>
      </c>
      <c r="B80" s="724"/>
      <c r="C80" s="724"/>
      <c r="D80" s="724"/>
      <c r="E80" s="724"/>
      <c r="F80" s="724"/>
      <c r="G80" s="740"/>
      <c r="H80" s="809"/>
      <c r="I80" s="809"/>
      <c r="J80" s="809"/>
      <c r="K80" s="809"/>
      <c r="L80" s="809"/>
      <c r="M80" s="809"/>
      <c r="N80" s="809"/>
      <c r="O80" s="809"/>
      <c r="P80" s="809"/>
      <c r="Q80" s="804" t="s">
        <v>894</v>
      </c>
      <c r="R80" s="805"/>
      <c r="S80" s="805"/>
      <c r="T80" s="806"/>
      <c r="U80" s="809"/>
      <c r="V80" s="809"/>
      <c r="W80" s="809"/>
      <c r="X80" s="809"/>
      <c r="Y80" s="648" t="s">
        <v>565</v>
      </c>
      <c r="Z80" s="648"/>
      <c r="AA80" s="648"/>
      <c r="AB80" s="648"/>
      <c r="AC80" s="648">
        <v>1</v>
      </c>
      <c r="AD80" s="648"/>
      <c r="AE80" s="648"/>
      <c r="AF80" s="648"/>
      <c r="AG80" s="648">
        <v>2</v>
      </c>
      <c r="AH80" s="648"/>
      <c r="AI80" s="648"/>
      <c r="AJ80" s="648"/>
      <c r="AK80" s="648">
        <v>3</v>
      </c>
      <c r="AL80" s="648"/>
      <c r="AM80" s="648"/>
      <c r="AN80" s="648"/>
      <c r="AO80" s="648">
        <v>4</v>
      </c>
      <c r="AP80" s="648"/>
      <c r="AQ80" s="648"/>
      <c r="AR80" s="648"/>
      <c r="AS80" s="648">
        <v>5</v>
      </c>
      <c r="AT80" s="648"/>
      <c r="AU80" s="648"/>
      <c r="AV80" s="648"/>
      <c r="AW80" s="648">
        <v>6</v>
      </c>
      <c r="AX80" s="648"/>
      <c r="AY80" s="648"/>
      <c r="AZ80" s="648"/>
      <c r="BA80" s="648">
        <v>7</v>
      </c>
      <c r="BB80" s="648"/>
      <c r="BC80" s="648"/>
      <c r="BD80" s="648"/>
      <c r="BE80" s="648">
        <v>8</v>
      </c>
      <c r="BF80" s="648"/>
      <c r="BG80" s="648"/>
      <c r="BH80" s="648"/>
    </row>
    <row r="81" s="633" customFormat="1" ht="15.95" customHeight="1" spans="1:60">
      <c r="A81" s="803" t="s">
        <v>1128</v>
      </c>
      <c r="B81" s="724"/>
      <c r="C81" s="724"/>
      <c r="D81" s="724"/>
      <c r="E81" s="724"/>
      <c r="F81" s="724"/>
      <c r="G81" s="740"/>
      <c r="H81" s="809"/>
      <c r="I81" s="809"/>
      <c r="J81" s="809"/>
      <c r="K81" s="809"/>
      <c r="L81" s="809"/>
      <c r="M81" s="809"/>
      <c r="N81" s="809"/>
      <c r="O81" s="809"/>
      <c r="P81" s="809"/>
      <c r="Q81" s="804" t="s">
        <v>894</v>
      </c>
      <c r="R81" s="805"/>
      <c r="S81" s="805"/>
      <c r="T81" s="806"/>
      <c r="U81" s="648" t="s">
        <v>755</v>
      </c>
      <c r="V81" s="648"/>
      <c r="W81" s="648"/>
      <c r="X81" s="648"/>
      <c r="Y81" s="804"/>
      <c r="Z81" s="805"/>
      <c r="AA81" s="805"/>
      <c r="AB81" s="806"/>
      <c r="AC81" s="809"/>
      <c r="AD81" s="809"/>
      <c r="AE81" s="809"/>
      <c r="AF81" s="809"/>
      <c r="AG81" s="809"/>
      <c r="AH81" s="809"/>
      <c r="AI81" s="809"/>
      <c r="AJ81" s="809"/>
      <c r="AK81" s="809"/>
      <c r="AL81" s="809"/>
      <c r="AM81" s="809"/>
      <c r="AN81" s="809"/>
      <c r="AO81" s="809"/>
      <c r="AP81" s="809"/>
      <c r="AQ81" s="809"/>
      <c r="AR81" s="809"/>
      <c r="AS81" s="809"/>
      <c r="AT81" s="809"/>
      <c r="AU81" s="809"/>
      <c r="AV81" s="809"/>
      <c r="AW81" s="809"/>
      <c r="AX81" s="809"/>
      <c r="AY81" s="809"/>
      <c r="AZ81" s="809"/>
      <c r="BA81" s="809"/>
      <c r="BB81" s="809"/>
      <c r="BC81" s="809"/>
      <c r="BD81" s="809"/>
      <c r="BE81" s="809"/>
      <c r="BF81" s="809"/>
      <c r="BG81" s="809"/>
      <c r="BH81" s="809"/>
    </row>
    <row r="82" s="633" customFormat="1" ht="15.95" customHeight="1" spans="1:60">
      <c r="A82" s="803" t="s">
        <v>1129</v>
      </c>
      <c r="B82" s="724"/>
      <c r="C82" s="724"/>
      <c r="D82" s="724"/>
      <c r="E82" s="724"/>
      <c r="F82" s="724"/>
      <c r="G82" s="740"/>
      <c r="H82" s="809"/>
      <c r="I82" s="809"/>
      <c r="J82" s="809"/>
      <c r="K82" s="809"/>
      <c r="L82" s="809"/>
      <c r="M82" s="809"/>
      <c r="N82" s="809"/>
      <c r="O82" s="809"/>
      <c r="P82" s="809"/>
      <c r="Q82" s="804" t="s">
        <v>894</v>
      </c>
      <c r="R82" s="805"/>
      <c r="S82" s="805"/>
      <c r="T82" s="806"/>
      <c r="U82" s="648" t="s">
        <v>757</v>
      </c>
      <c r="V82" s="648"/>
      <c r="W82" s="648"/>
      <c r="X82" s="648"/>
      <c r="Y82" s="804"/>
      <c r="Z82" s="805"/>
      <c r="AA82" s="805"/>
      <c r="AB82" s="806"/>
      <c r="AC82" s="809"/>
      <c r="AD82" s="809"/>
      <c r="AE82" s="809"/>
      <c r="AF82" s="809"/>
      <c r="AG82" s="809"/>
      <c r="AH82" s="809"/>
      <c r="AI82" s="809"/>
      <c r="AJ82" s="809"/>
      <c r="AK82" s="809"/>
      <c r="AL82" s="809"/>
      <c r="AM82" s="809"/>
      <c r="AN82" s="809"/>
      <c r="AO82" s="809"/>
      <c r="AP82" s="809"/>
      <c r="AQ82" s="809"/>
      <c r="AR82" s="809"/>
      <c r="AS82" s="809"/>
      <c r="AT82" s="809"/>
      <c r="AU82" s="809"/>
      <c r="AV82" s="809"/>
      <c r="AW82" s="809"/>
      <c r="AX82" s="809"/>
      <c r="AY82" s="809"/>
      <c r="AZ82" s="809"/>
      <c r="BA82" s="809"/>
      <c r="BB82" s="809"/>
      <c r="BC82" s="809"/>
      <c r="BD82" s="809"/>
      <c r="BE82" s="809"/>
      <c r="BF82" s="809"/>
      <c r="BG82" s="809"/>
      <c r="BH82" s="809"/>
    </row>
    <row r="83" s="633" customFormat="1" ht="15.95" customHeight="1" spans="1:60">
      <c r="A83" s="803" t="s">
        <v>1130</v>
      </c>
      <c r="B83" s="724"/>
      <c r="C83" s="724"/>
      <c r="D83" s="724"/>
      <c r="E83" s="724"/>
      <c r="F83" s="724"/>
      <c r="G83" s="740"/>
      <c r="H83" s="809"/>
      <c r="I83" s="809"/>
      <c r="J83" s="809"/>
      <c r="K83" s="809"/>
      <c r="L83" s="809"/>
      <c r="M83" s="809"/>
      <c r="N83" s="809"/>
      <c r="O83" s="809"/>
      <c r="P83" s="809"/>
      <c r="Q83" s="804" t="s">
        <v>894</v>
      </c>
      <c r="R83" s="805"/>
      <c r="S83" s="805"/>
      <c r="T83" s="806"/>
      <c r="U83" s="648" t="s">
        <v>759</v>
      </c>
      <c r="V83" s="648"/>
      <c r="W83" s="648"/>
      <c r="X83" s="648"/>
      <c r="Y83" s="804"/>
      <c r="Z83" s="805"/>
      <c r="AA83" s="805"/>
      <c r="AB83" s="806"/>
      <c r="AC83" s="809"/>
      <c r="AD83" s="809"/>
      <c r="AE83" s="809"/>
      <c r="AF83" s="809"/>
      <c r="AG83" s="809"/>
      <c r="AH83" s="809"/>
      <c r="AI83" s="809"/>
      <c r="AJ83" s="809"/>
      <c r="AK83" s="809"/>
      <c r="AL83" s="809"/>
      <c r="AM83" s="809"/>
      <c r="AN83" s="809"/>
      <c r="AO83" s="809"/>
      <c r="AP83" s="809"/>
      <c r="AQ83" s="809"/>
      <c r="AR83" s="809"/>
      <c r="AS83" s="809"/>
      <c r="AT83" s="809"/>
      <c r="AU83" s="809"/>
      <c r="AV83" s="809"/>
      <c r="AW83" s="809"/>
      <c r="AX83" s="809"/>
      <c r="AY83" s="809"/>
      <c r="AZ83" s="809"/>
      <c r="BA83" s="809"/>
      <c r="BB83" s="809"/>
      <c r="BC83" s="809"/>
      <c r="BD83" s="809"/>
      <c r="BE83" s="809"/>
      <c r="BF83" s="809"/>
      <c r="BG83" s="809"/>
      <c r="BH83" s="809"/>
    </row>
    <row r="84" s="633" customFormat="1" ht="15.95" customHeight="1" spans="1:60">
      <c r="A84" s="803" t="s">
        <v>1131</v>
      </c>
      <c r="B84" s="724"/>
      <c r="C84" s="724"/>
      <c r="D84" s="724"/>
      <c r="E84" s="724"/>
      <c r="F84" s="724"/>
      <c r="G84" s="740"/>
      <c r="H84" s="810"/>
      <c r="I84" s="836"/>
      <c r="J84" s="836"/>
      <c r="K84" s="836"/>
      <c r="L84" s="836"/>
      <c r="M84" s="836"/>
      <c r="N84" s="836"/>
      <c r="O84" s="836"/>
      <c r="P84" s="836"/>
      <c r="Q84" s="836"/>
      <c r="R84" s="836"/>
      <c r="S84" s="836"/>
      <c r="T84" s="846"/>
      <c r="U84" s="809" t="s">
        <v>1132</v>
      </c>
      <c r="V84" s="809"/>
      <c r="W84" s="809"/>
      <c r="X84" s="809"/>
      <c r="Y84" s="809"/>
      <c r="Z84" s="809"/>
      <c r="AA84" s="809"/>
      <c r="AB84" s="809"/>
      <c r="AC84" s="809"/>
      <c r="AD84" s="809"/>
      <c r="AE84" s="809"/>
      <c r="AF84" s="809"/>
      <c r="AG84" s="809"/>
      <c r="AH84" s="809"/>
      <c r="AI84" s="809"/>
      <c r="AJ84" s="809"/>
      <c r="AK84" s="809"/>
      <c r="AL84" s="809"/>
      <c r="AM84" s="809"/>
      <c r="AN84" s="809"/>
      <c r="AO84" s="809"/>
      <c r="AP84" s="809"/>
      <c r="AQ84" s="809"/>
      <c r="AR84" s="809"/>
      <c r="AS84" s="809"/>
      <c r="AT84" s="809"/>
      <c r="AU84" s="809"/>
      <c r="AV84" s="809"/>
      <c r="AW84" s="809"/>
      <c r="AX84" s="809"/>
      <c r="AY84" s="809"/>
      <c r="AZ84" s="809"/>
      <c r="BA84" s="809"/>
      <c r="BB84" s="809"/>
      <c r="BC84" s="809"/>
      <c r="BD84" s="809"/>
      <c r="BE84" s="809"/>
      <c r="BF84" s="809"/>
      <c r="BG84" s="809"/>
      <c r="BH84" s="809"/>
    </row>
    <row r="85" ht="15.95" customHeight="1" spans="1:60">
      <c r="A85" s="803" t="s">
        <v>807</v>
      </c>
      <c r="B85" s="724"/>
      <c r="C85" s="724"/>
      <c r="D85" s="724"/>
      <c r="E85" s="724"/>
      <c r="F85" s="724"/>
      <c r="G85" s="740"/>
      <c r="H85" s="809"/>
      <c r="I85" s="809"/>
      <c r="J85" s="809"/>
      <c r="K85" s="809"/>
      <c r="L85" s="809"/>
      <c r="M85" s="809"/>
      <c r="N85" s="809"/>
      <c r="O85" s="809"/>
      <c r="P85" s="809"/>
      <c r="Q85" s="804" t="s">
        <v>1133</v>
      </c>
      <c r="R85" s="805"/>
      <c r="S85" s="805"/>
      <c r="T85" s="806"/>
      <c r="U85" s="809"/>
      <c r="V85" s="809"/>
      <c r="W85" s="809"/>
      <c r="X85" s="809"/>
      <c r="Y85" s="648" t="s">
        <v>565</v>
      </c>
      <c r="Z85" s="648"/>
      <c r="AA85" s="648"/>
      <c r="AB85" s="648"/>
      <c r="AC85" s="648">
        <v>1</v>
      </c>
      <c r="AD85" s="648"/>
      <c r="AE85" s="648"/>
      <c r="AF85" s="648"/>
      <c r="AG85" s="648">
        <v>2</v>
      </c>
      <c r="AH85" s="648"/>
      <c r="AI85" s="648"/>
      <c r="AJ85" s="648"/>
      <c r="AK85" s="648">
        <v>3</v>
      </c>
      <c r="AL85" s="648"/>
      <c r="AM85" s="648"/>
      <c r="AN85" s="648"/>
      <c r="AO85" s="648">
        <v>4</v>
      </c>
      <c r="AP85" s="648"/>
      <c r="AQ85" s="648"/>
      <c r="AR85" s="648"/>
      <c r="AS85" s="648">
        <v>5</v>
      </c>
      <c r="AT85" s="648"/>
      <c r="AU85" s="648"/>
      <c r="AV85" s="648"/>
      <c r="AW85" s="648">
        <v>6</v>
      </c>
      <c r="AX85" s="648"/>
      <c r="AY85" s="648"/>
      <c r="AZ85" s="648"/>
      <c r="BA85" s="648">
        <v>7</v>
      </c>
      <c r="BB85" s="648"/>
      <c r="BC85" s="648"/>
      <c r="BD85" s="648"/>
      <c r="BE85" s="648">
        <v>8</v>
      </c>
      <c r="BF85" s="648"/>
      <c r="BG85" s="648"/>
      <c r="BH85" s="648"/>
    </row>
    <row r="86" ht="15.95" customHeight="1" spans="1:60">
      <c r="A86" s="803" t="s">
        <v>513</v>
      </c>
      <c r="B86" s="724"/>
      <c r="C86" s="724"/>
      <c r="D86" s="724"/>
      <c r="E86" s="724"/>
      <c r="F86" s="724"/>
      <c r="G86" s="740"/>
      <c r="H86" s="809"/>
      <c r="I86" s="809"/>
      <c r="J86" s="809"/>
      <c r="K86" s="809"/>
      <c r="L86" s="809"/>
      <c r="M86" s="809"/>
      <c r="N86" s="809"/>
      <c r="O86" s="809"/>
      <c r="P86" s="809"/>
      <c r="Q86" s="804" t="s">
        <v>900</v>
      </c>
      <c r="R86" s="805"/>
      <c r="S86" s="805"/>
      <c r="T86" s="806"/>
      <c r="U86" s="648" t="s">
        <v>755</v>
      </c>
      <c r="V86" s="648"/>
      <c r="W86" s="648"/>
      <c r="X86" s="648"/>
      <c r="Y86" s="804"/>
      <c r="Z86" s="805"/>
      <c r="AA86" s="805"/>
      <c r="AB86" s="806"/>
      <c r="AC86" s="809"/>
      <c r="AD86" s="809"/>
      <c r="AE86" s="809"/>
      <c r="AF86" s="809"/>
      <c r="AG86" s="809"/>
      <c r="AH86" s="809"/>
      <c r="AI86" s="809"/>
      <c r="AJ86" s="809"/>
      <c r="AK86" s="809"/>
      <c r="AL86" s="809"/>
      <c r="AM86" s="809"/>
      <c r="AN86" s="809"/>
      <c r="AO86" s="809"/>
      <c r="AP86" s="809"/>
      <c r="AQ86" s="809"/>
      <c r="AR86" s="809"/>
      <c r="AS86" s="809"/>
      <c r="AT86" s="809"/>
      <c r="AU86" s="809"/>
      <c r="AV86" s="809"/>
      <c r="AW86" s="809"/>
      <c r="AX86" s="809"/>
      <c r="AY86" s="809"/>
      <c r="AZ86" s="809"/>
      <c r="BA86" s="809"/>
      <c r="BB86" s="809"/>
      <c r="BC86" s="809"/>
      <c r="BD86" s="809"/>
      <c r="BE86" s="809"/>
      <c r="BF86" s="809"/>
      <c r="BG86" s="809"/>
      <c r="BH86" s="809"/>
    </row>
    <row r="87" ht="15.95" customHeight="1" spans="1:60">
      <c r="A87" s="803" t="s">
        <v>1134</v>
      </c>
      <c r="B87" s="724"/>
      <c r="C87" s="724"/>
      <c r="D87" s="724"/>
      <c r="E87" s="724"/>
      <c r="F87" s="724"/>
      <c r="G87" s="740"/>
      <c r="H87" s="809" t="s">
        <v>1135</v>
      </c>
      <c r="I87" s="809"/>
      <c r="J87" s="837"/>
      <c r="K87" s="837"/>
      <c r="L87" s="837"/>
      <c r="M87" s="809" t="s">
        <v>1136</v>
      </c>
      <c r="N87" s="809"/>
      <c r="O87" s="837"/>
      <c r="P87" s="837"/>
      <c r="Q87" s="837"/>
      <c r="R87" s="648"/>
      <c r="S87" s="648"/>
      <c r="T87" s="648"/>
      <c r="U87" s="648" t="s">
        <v>757</v>
      </c>
      <c r="V87" s="648"/>
      <c r="W87" s="648"/>
      <c r="X87" s="648"/>
      <c r="Y87" s="804"/>
      <c r="Z87" s="805"/>
      <c r="AA87" s="805"/>
      <c r="AB87" s="806"/>
      <c r="AC87" s="809"/>
      <c r="AD87" s="809"/>
      <c r="AE87" s="809"/>
      <c r="AF87" s="809"/>
      <c r="AG87" s="809"/>
      <c r="AH87" s="809"/>
      <c r="AI87" s="809"/>
      <c r="AJ87" s="809"/>
      <c r="AK87" s="809"/>
      <c r="AL87" s="809"/>
      <c r="AM87" s="809"/>
      <c r="AN87" s="809"/>
      <c r="AO87" s="809"/>
      <c r="AP87" s="809"/>
      <c r="AQ87" s="809"/>
      <c r="AR87" s="809"/>
      <c r="AS87" s="809"/>
      <c r="AT87" s="809"/>
      <c r="AU87" s="809"/>
      <c r="AV87" s="809"/>
      <c r="AW87" s="809"/>
      <c r="AX87" s="809"/>
      <c r="AY87" s="809"/>
      <c r="AZ87" s="809"/>
      <c r="BA87" s="809"/>
      <c r="BB87" s="809"/>
      <c r="BC87" s="809"/>
      <c r="BD87" s="809"/>
      <c r="BE87" s="809"/>
      <c r="BF87" s="809"/>
      <c r="BG87" s="809"/>
      <c r="BH87" s="809"/>
    </row>
    <row r="88" ht="15.95" customHeight="1" spans="1:60">
      <c r="A88" s="803" t="s">
        <v>1137</v>
      </c>
      <c r="B88" s="724"/>
      <c r="C88" s="724"/>
      <c r="D88" s="724"/>
      <c r="E88" s="724"/>
      <c r="F88" s="724"/>
      <c r="G88" s="740"/>
      <c r="H88" s="809"/>
      <c r="I88" s="809"/>
      <c r="J88" s="809"/>
      <c r="K88" s="809"/>
      <c r="L88" s="809"/>
      <c r="M88" s="809"/>
      <c r="N88" s="809"/>
      <c r="O88" s="809"/>
      <c r="P88" s="809"/>
      <c r="Q88" s="696"/>
      <c r="R88" s="696"/>
      <c r="S88" s="696"/>
      <c r="T88" s="696"/>
      <c r="U88" s="648" t="s">
        <v>759</v>
      </c>
      <c r="V88" s="648"/>
      <c r="W88" s="648"/>
      <c r="X88" s="648"/>
      <c r="Y88" s="804"/>
      <c r="Z88" s="805"/>
      <c r="AA88" s="805"/>
      <c r="AB88" s="806"/>
      <c r="AC88" s="809"/>
      <c r="AD88" s="809"/>
      <c r="AE88" s="809"/>
      <c r="AF88" s="809"/>
      <c r="AG88" s="809"/>
      <c r="AH88" s="809"/>
      <c r="AI88" s="809"/>
      <c r="AJ88" s="809"/>
      <c r="AK88" s="809"/>
      <c r="AL88" s="809"/>
      <c r="AM88" s="809"/>
      <c r="AN88" s="809"/>
      <c r="AO88" s="809"/>
      <c r="AP88" s="809"/>
      <c r="AQ88" s="809"/>
      <c r="AR88" s="809"/>
      <c r="AS88" s="809"/>
      <c r="AT88" s="809"/>
      <c r="AU88" s="809"/>
      <c r="AV88" s="809"/>
      <c r="AW88" s="809"/>
      <c r="AX88" s="809"/>
      <c r="AY88" s="809"/>
      <c r="AZ88" s="809"/>
      <c r="BA88" s="809"/>
      <c r="BB88" s="809"/>
      <c r="BC88" s="809"/>
      <c r="BD88" s="809"/>
      <c r="BE88" s="809"/>
      <c r="BF88" s="809"/>
      <c r="BG88" s="809"/>
      <c r="BH88" s="809"/>
    </row>
    <row r="89" ht="15.95" customHeight="1" spans="1:60">
      <c r="A89" s="803" t="s">
        <v>1138</v>
      </c>
      <c r="B89" s="724"/>
      <c r="C89" s="724"/>
      <c r="D89" s="724"/>
      <c r="E89" s="724"/>
      <c r="F89" s="724"/>
      <c r="G89" s="740"/>
      <c r="H89" s="809"/>
      <c r="I89" s="809"/>
      <c r="J89" s="809"/>
      <c r="K89" s="809"/>
      <c r="L89" s="809"/>
      <c r="M89" s="809"/>
      <c r="N89" s="809"/>
      <c r="O89" s="809"/>
      <c r="P89" s="809"/>
      <c r="Q89" s="696"/>
      <c r="R89" s="696"/>
      <c r="S89" s="696"/>
      <c r="T89" s="696"/>
      <c r="U89" s="807"/>
      <c r="V89" s="811"/>
      <c r="W89" s="811"/>
      <c r="X89" s="811"/>
      <c r="Y89" s="811"/>
      <c r="Z89" s="811"/>
      <c r="AA89" s="811"/>
      <c r="AB89" s="811"/>
      <c r="AC89" s="811"/>
      <c r="AD89" s="811"/>
      <c r="AE89" s="811"/>
      <c r="AF89" s="811"/>
      <c r="AG89" s="811"/>
      <c r="AH89" s="811"/>
      <c r="AI89" s="811"/>
      <c r="AJ89" s="811"/>
      <c r="AK89" s="811"/>
      <c r="AL89" s="811"/>
      <c r="AM89" s="811"/>
      <c r="AN89" s="811"/>
      <c r="AO89" s="811"/>
      <c r="AP89" s="811"/>
      <c r="AQ89" s="811"/>
      <c r="AR89" s="811"/>
      <c r="AS89" s="811"/>
      <c r="AT89" s="811"/>
      <c r="AU89" s="811"/>
      <c r="AV89" s="811"/>
      <c r="AW89" s="811"/>
      <c r="AX89" s="811"/>
      <c r="AY89" s="811"/>
      <c r="AZ89" s="811"/>
      <c r="BA89" s="811"/>
      <c r="BB89" s="811"/>
      <c r="BC89" s="811"/>
      <c r="BD89" s="811"/>
      <c r="BE89" s="811"/>
      <c r="BF89" s="811"/>
      <c r="BG89" s="811"/>
      <c r="BH89" s="811"/>
    </row>
    <row r="90" ht="15.95" customHeight="1" spans="1:60">
      <c r="A90" s="808" t="s">
        <v>1139</v>
      </c>
      <c r="B90" s="808"/>
      <c r="C90" s="808"/>
      <c r="D90" s="808"/>
      <c r="E90" s="808"/>
      <c r="F90" s="808"/>
      <c r="G90" s="808"/>
      <c r="H90" s="808"/>
      <c r="I90" s="808"/>
      <c r="J90" s="808"/>
      <c r="K90" s="808"/>
      <c r="L90" s="808"/>
      <c r="M90" s="808"/>
      <c r="N90" s="808"/>
      <c r="O90" s="808"/>
      <c r="P90" s="808"/>
      <c r="Q90" s="808"/>
      <c r="R90" s="808"/>
      <c r="S90" s="808"/>
      <c r="T90" s="808"/>
      <c r="U90" s="808"/>
      <c r="V90" s="808"/>
      <c r="W90" s="808"/>
      <c r="X90" s="808"/>
      <c r="Y90" s="808"/>
      <c r="Z90" s="808"/>
      <c r="AA90" s="808"/>
      <c r="AB90" s="808"/>
      <c r="AC90" s="808"/>
      <c r="AD90" s="808"/>
      <c r="AE90" s="808"/>
      <c r="AF90" s="808"/>
      <c r="AG90" s="808"/>
      <c r="AH90" s="808"/>
      <c r="AI90" s="808"/>
      <c r="AJ90" s="808"/>
      <c r="AK90" s="808"/>
      <c r="AL90" s="808"/>
      <c r="AM90" s="808"/>
      <c r="AN90" s="808"/>
      <c r="AO90" s="808"/>
      <c r="AP90" s="808"/>
      <c r="AQ90" s="808"/>
      <c r="AR90" s="808"/>
      <c r="AS90" s="808"/>
      <c r="AT90" s="808"/>
      <c r="AU90" s="808"/>
      <c r="AV90" s="808"/>
      <c r="AW90" s="808"/>
      <c r="AX90" s="808"/>
      <c r="AY90" s="808"/>
      <c r="AZ90" s="808"/>
      <c r="BA90" s="808"/>
      <c r="BB90" s="808"/>
      <c r="BC90" s="808"/>
      <c r="BD90" s="808"/>
      <c r="BE90" s="808"/>
      <c r="BF90" s="808"/>
      <c r="BG90" s="808"/>
      <c r="BH90" s="808"/>
    </row>
    <row r="91" ht="15.95" customHeight="1" spans="1:60">
      <c r="A91" s="803" t="s">
        <v>769</v>
      </c>
      <c r="B91" s="724"/>
      <c r="C91" s="724"/>
      <c r="D91" s="724"/>
      <c r="E91" s="724"/>
      <c r="F91" s="724"/>
      <c r="G91" s="740"/>
      <c r="H91" s="809"/>
      <c r="I91" s="809"/>
      <c r="J91" s="809"/>
      <c r="K91" s="809"/>
      <c r="L91" s="809"/>
      <c r="M91" s="809"/>
      <c r="N91" s="809"/>
      <c r="O91" s="809"/>
      <c r="P91" s="809"/>
      <c r="Q91" s="804" t="s">
        <v>1140</v>
      </c>
      <c r="R91" s="805"/>
      <c r="S91" s="805"/>
      <c r="T91" s="806"/>
      <c r="U91" s="809" t="s">
        <v>1141</v>
      </c>
      <c r="V91" s="809"/>
      <c r="W91" s="809"/>
      <c r="X91" s="809"/>
      <c r="Y91" s="809"/>
      <c r="Z91" s="809"/>
      <c r="AA91" s="809"/>
      <c r="AB91" s="809"/>
      <c r="AC91" s="809"/>
      <c r="AD91" s="809"/>
      <c r="AE91" s="809"/>
      <c r="AF91" s="809"/>
      <c r="AG91" s="809"/>
      <c r="AH91" s="809"/>
      <c r="AI91" s="809"/>
      <c r="AJ91" s="809"/>
      <c r="AK91" s="809"/>
      <c r="AL91" s="809"/>
      <c r="AM91" s="809"/>
      <c r="AN91" s="809"/>
      <c r="AO91" s="809"/>
      <c r="AP91" s="809"/>
      <c r="AQ91" s="809"/>
      <c r="AR91" s="809"/>
      <c r="AS91" s="809"/>
      <c r="AT91" s="809"/>
      <c r="AU91" s="809"/>
      <c r="AV91" s="809"/>
      <c r="AW91" s="809"/>
      <c r="AX91" s="809"/>
      <c r="AY91" s="809"/>
      <c r="AZ91" s="809"/>
      <c r="BA91" s="809"/>
      <c r="BB91" s="809"/>
      <c r="BC91" s="809"/>
      <c r="BD91" s="809"/>
      <c r="BE91" s="809"/>
      <c r="BF91" s="809"/>
      <c r="BG91" s="809"/>
      <c r="BH91" s="809"/>
    </row>
    <row r="92" ht="15.95" customHeight="1" spans="1:60">
      <c r="A92" s="803" t="s">
        <v>1142</v>
      </c>
      <c r="B92" s="724"/>
      <c r="C92" s="724"/>
      <c r="D92" s="724"/>
      <c r="E92" s="724"/>
      <c r="F92" s="724"/>
      <c r="G92" s="740"/>
      <c r="H92" s="809" t="s">
        <v>1143</v>
      </c>
      <c r="I92" s="809"/>
      <c r="J92" s="837"/>
      <c r="K92" s="837"/>
      <c r="L92" s="837"/>
      <c r="M92" s="809" t="s">
        <v>1144</v>
      </c>
      <c r="N92" s="809"/>
      <c r="O92" s="837"/>
      <c r="P92" s="837"/>
      <c r="Q92" s="837"/>
      <c r="R92" s="648"/>
      <c r="S92" s="648"/>
      <c r="T92" s="648"/>
      <c r="U92" s="809"/>
      <c r="V92" s="809"/>
      <c r="W92" s="809"/>
      <c r="X92" s="809"/>
      <c r="Y92" s="648" t="s">
        <v>565</v>
      </c>
      <c r="Z92" s="648"/>
      <c r="AA92" s="648"/>
      <c r="AB92" s="648"/>
      <c r="AC92" s="648">
        <v>1</v>
      </c>
      <c r="AD92" s="648"/>
      <c r="AE92" s="648"/>
      <c r="AF92" s="648"/>
      <c r="AG92" s="648">
        <v>2</v>
      </c>
      <c r="AH92" s="648"/>
      <c r="AI92" s="648"/>
      <c r="AJ92" s="648"/>
      <c r="AK92" s="648">
        <v>3</v>
      </c>
      <c r="AL92" s="648"/>
      <c r="AM92" s="648"/>
      <c r="AN92" s="648"/>
      <c r="AO92" s="648">
        <v>4</v>
      </c>
      <c r="AP92" s="648"/>
      <c r="AQ92" s="648"/>
      <c r="AR92" s="648"/>
      <c r="AS92" s="648">
        <v>5</v>
      </c>
      <c r="AT92" s="648"/>
      <c r="AU92" s="648"/>
      <c r="AV92" s="648"/>
      <c r="AW92" s="648">
        <v>6</v>
      </c>
      <c r="AX92" s="648"/>
      <c r="AY92" s="648"/>
      <c r="AZ92" s="648"/>
      <c r="BA92" s="648">
        <v>7</v>
      </c>
      <c r="BB92" s="648"/>
      <c r="BC92" s="648"/>
      <c r="BD92" s="648"/>
      <c r="BE92" s="648">
        <v>8</v>
      </c>
      <c r="BF92" s="648"/>
      <c r="BG92" s="648"/>
      <c r="BH92" s="648"/>
    </row>
    <row r="93" ht="15.95" customHeight="1" spans="1:60">
      <c r="A93" s="803" t="s">
        <v>1145</v>
      </c>
      <c r="B93" s="724"/>
      <c r="C93" s="724"/>
      <c r="D93" s="724"/>
      <c r="E93" s="724"/>
      <c r="F93" s="724"/>
      <c r="G93" s="740"/>
      <c r="H93" s="809" t="s">
        <v>1143</v>
      </c>
      <c r="I93" s="809"/>
      <c r="J93" s="837"/>
      <c r="K93" s="837"/>
      <c r="L93" s="837"/>
      <c r="M93" s="809" t="s">
        <v>1144</v>
      </c>
      <c r="N93" s="809"/>
      <c r="O93" s="837"/>
      <c r="P93" s="837"/>
      <c r="Q93" s="837"/>
      <c r="R93" s="648"/>
      <c r="S93" s="648"/>
      <c r="T93" s="648"/>
      <c r="U93" s="648" t="s">
        <v>755</v>
      </c>
      <c r="V93" s="648"/>
      <c r="W93" s="648"/>
      <c r="X93" s="648"/>
      <c r="Y93" s="804"/>
      <c r="Z93" s="805"/>
      <c r="AA93" s="805"/>
      <c r="AB93" s="806"/>
      <c r="AC93" s="809"/>
      <c r="AD93" s="809"/>
      <c r="AE93" s="809"/>
      <c r="AF93" s="809"/>
      <c r="AG93" s="809"/>
      <c r="AH93" s="809"/>
      <c r="AI93" s="809"/>
      <c r="AJ93" s="809"/>
      <c r="AK93" s="809"/>
      <c r="AL93" s="809"/>
      <c r="AM93" s="809"/>
      <c r="AN93" s="809"/>
      <c r="AO93" s="809"/>
      <c r="AP93" s="809"/>
      <c r="AQ93" s="809"/>
      <c r="AR93" s="809"/>
      <c r="AS93" s="809"/>
      <c r="AT93" s="809"/>
      <c r="AU93" s="809"/>
      <c r="AV93" s="809"/>
      <c r="AW93" s="809"/>
      <c r="AX93" s="809"/>
      <c r="AY93" s="809"/>
      <c r="AZ93" s="809"/>
      <c r="BA93" s="809"/>
      <c r="BB93" s="809"/>
      <c r="BC93" s="809"/>
      <c r="BD93" s="809"/>
      <c r="BE93" s="809"/>
      <c r="BF93" s="809"/>
      <c r="BG93" s="809"/>
      <c r="BH93" s="809"/>
    </row>
    <row r="94" ht="15.95" customHeight="1" spans="1:60">
      <c r="A94" s="803" t="s">
        <v>810</v>
      </c>
      <c r="B94" s="724"/>
      <c r="C94" s="724"/>
      <c r="D94" s="724"/>
      <c r="E94" s="724"/>
      <c r="F94" s="724"/>
      <c r="G94" s="740"/>
      <c r="H94" s="741"/>
      <c r="I94" s="742"/>
      <c r="J94" s="742"/>
      <c r="K94" s="742"/>
      <c r="L94" s="742"/>
      <c r="M94" s="742"/>
      <c r="N94" s="742"/>
      <c r="O94" s="742"/>
      <c r="P94" s="742"/>
      <c r="Q94" s="742"/>
      <c r="R94" s="742"/>
      <c r="S94" s="742"/>
      <c r="T94" s="748"/>
      <c r="U94" s="648" t="s">
        <v>757</v>
      </c>
      <c r="V94" s="648"/>
      <c r="W94" s="648"/>
      <c r="X94" s="648"/>
      <c r="Y94" s="804"/>
      <c r="Z94" s="805"/>
      <c r="AA94" s="805"/>
      <c r="AB94" s="806"/>
      <c r="AC94" s="809"/>
      <c r="AD94" s="809"/>
      <c r="AE94" s="809"/>
      <c r="AF94" s="809"/>
      <c r="AG94" s="809"/>
      <c r="AH94" s="809"/>
      <c r="AI94" s="809"/>
      <c r="AJ94" s="809"/>
      <c r="AK94" s="809"/>
      <c r="AL94" s="809"/>
      <c r="AM94" s="809"/>
      <c r="AN94" s="809"/>
      <c r="AO94" s="809"/>
      <c r="AP94" s="809"/>
      <c r="AQ94" s="809"/>
      <c r="AR94" s="809"/>
      <c r="AS94" s="809"/>
      <c r="AT94" s="809"/>
      <c r="AU94" s="809"/>
      <c r="AV94" s="809"/>
      <c r="AW94" s="809"/>
      <c r="AX94" s="809"/>
      <c r="AY94" s="809"/>
      <c r="AZ94" s="809"/>
      <c r="BA94" s="809"/>
      <c r="BB94" s="809"/>
      <c r="BC94" s="809"/>
      <c r="BD94" s="809"/>
      <c r="BE94" s="809"/>
      <c r="BF94" s="809"/>
      <c r="BG94" s="809"/>
      <c r="BH94" s="809"/>
    </row>
    <row r="95" ht="15.95" customHeight="1" spans="1:60">
      <c r="A95" s="803" t="s">
        <v>1146</v>
      </c>
      <c r="B95" s="724"/>
      <c r="C95" s="724"/>
      <c r="D95" s="724"/>
      <c r="E95" s="724"/>
      <c r="F95" s="724"/>
      <c r="G95" s="740"/>
      <c r="H95" s="809"/>
      <c r="I95" s="809"/>
      <c r="J95" s="809"/>
      <c r="K95" s="809"/>
      <c r="L95" s="809"/>
      <c r="M95" s="809"/>
      <c r="N95" s="809"/>
      <c r="O95" s="809"/>
      <c r="P95" s="809"/>
      <c r="Q95" s="804" t="s">
        <v>894</v>
      </c>
      <c r="R95" s="805"/>
      <c r="S95" s="805"/>
      <c r="T95" s="806"/>
      <c r="U95" s="648" t="s">
        <v>759</v>
      </c>
      <c r="V95" s="648"/>
      <c r="W95" s="648"/>
      <c r="X95" s="648"/>
      <c r="Y95" s="804"/>
      <c r="Z95" s="805"/>
      <c r="AA95" s="805"/>
      <c r="AB95" s="806"/>
      <c r="AC95" s="809"/>
      <c r="AD95" s="809"/>
      <c r="AE95" s="809"/>
      <c r="AF95" s="809"/>
      <c r="AG95" s="809"/>
      <c r="AH95" s="809"/>
      <c r="AI95" s="809"/>
      <c r="AJ95" s="809"/>
      <c r="AK95" s="809"/>
      <c r="AL95" s="809"/>
      <c r="AM95" s="809"/>
      <c r="AN95" s="809"/>
      <c r="AO95" s="809"/>
      <c r="AP95" s="809"/>
      <c r="AQ95" s="809"/>
      <c r="AR95" s="809"/>
      <c r="AS95" s="809"/>
      <c r="AT95" s="809"/>
      <c r="AU95" s="809"/>
      <c r="AV95" s="809"/>
      <c r="AW95" s="809"/>
      <c r="AX95" s="809"/>
      <c r="AY95" s="809"/>
      <c r="AZ95" s="809"/>
      <c r="BA95" s="809"/>
      <c r="BB95" s="809"/>
      <c r="BC95" s="809"/>
      <c r="BD95" s="809"/>
      <c r="BE95" s="809"/>
      <c r="BF95" s="809"/>
      <c r="BG95" s="809"/>
      <c r="BH95" s="809"/>
    </row>
    <row r="96" ht="15.95" customHeight="1" spans="1:60">
      <c r="A96" s="803" t="s">
        <v>1147</v>
      </c>
      <c r="B96" s="724"/>
      <c r="C96" s="724"/>
      <c r="D96" s="724"/>
      <c r="E96" s="724"/>
      <c r="F96" s="724"/>
      <c r="G96" s="740"/>
      <c r="H96" s="809"/>
      <c r="I96" s="809"/>
      <c r="J96" s="809"/>
      <c r="K96" s="809"/>
      <c r="L96" s="809"/>
      <c r="M96" s="809"/>
      <c r="N96" s="809"/>
      <c r="O96" s="809"/>
      <c r="P96" s="809"/>
      <c r="Q96" s="804" t="s">
        <v>905</v>
      </c>
      <c r="R96" s="805"/>
      <c r="S96" s="805"/>
      <c r="T96" s="806"/>
      <c r="U96" s="809" t="s">
        <v>1148</v>
      </c>
      <c r="V96" s="809"/>
      <c r="W96" s="809"/>
      <c r="X96" s="809"/>
      <c r="Y96" s="809"/>
      <c r="Z96" s="809"/>
      <c r="AA96" s="809"/>
      <c r="AB96" s="809"/>
      <c r="AC96" s="809"/>
      <c r="AD96" s="809"/>
      <c r="AE96" s="809"/>
      <c r="AF96" s="809"/>
      <c r="AG96" s="809"/>
      <c r="AH96" s="809"/>
      <c r="AI96" s="809"/>
      <c r="AJ96" s="809"/>
      <c r="AK96" s="809"/>
      <c r="AL96" s="809"/>
      <c r="AM96" s="809"/>
      <c r="AN96" s="809"/>
      <c r="AO96" s="809"/>
      <c r="AP96" s="809"/>
      <c r="AQ96" s="809"/>
      <c r="AR96" s="809"/>
      <c r="AS96" s="809"/>
      <c r="AT96" s="809"/>
      <c r="AU96" s="809"/>
      <c r="AV96" s="809"/>
      <c r="AW96" s="809"/>
      <c r="AX96" s="809"/>
      <c r="AY96" s="809"/>
      <c r="AZ96" s="809"/>
      <c r="BA96" s="809"/>
      <c r="BB96" s="809"/>
      <c r="BC96" s="809"/>
      <c r="BD96" s="809"/>
      <c r="BE96" s="809"/>
      <c r="BF96" s="809"/>
      <c r="BG96" s="809"/>
      <c r="BH96" s="809"/>
    </row>
    <row r="97" ht="15.95" customHeight="1" spans="1:60">
      <c r="A97" s="803" t="s">
        <v>1149</v>
      </c>
      <c r="B97" s="724"/>
      <c r="C97" s="724"/>
      <c r="D97" s="724"/>
      <c r="E97" s="724"/>
      <c r="F97" s="724"/>
      <c r="G97" s="740"/>
      <c r="H97" s="809"/>
      <c r="I97" s="809"/>
      <c r="J97" s="809"/>
      <c r="K97" s="809"/>
      <c r="L97" s="809"/>
      <c r="M97" s="809"/>
      <c r="N97" s="809"/>
      <c r="O97" s="809"/>
      <c r="P97" s="809"/>
      <c r="Q97" s="804" t="s">
        <v>1150</v>
      </c>
      <c r="R97" s="805"/>
      <c r="S97" s="805"/>
      <c r="T97" s="806"/>
      <c r="U97" s="809"/>
      <c r="V97" s="809"/>
      <c r="W97" s="809"/>
      <c r="X97" s="809"/>
      <c r="Y97" s="648" t="s">
        <v>565</v>
      </c>
      <c r="Z97" s="648"/>
      <c r="AA97" s="648"/>
      <c r="AB97" s="648"/>
      <c r="AC97" s="648">
        <v>1</v>
      </c>
      <c r="AD97" s="648"/>
      <c r="AE97" s="648"/>
      <c r="AF97" s="648"/>
      <c r="AG97" s="648">
        <v>2</v>
      </c>
      <c r="AH97" s="648"/>
      <c r="AI97" s="648"/>
      <c r="AJ97" s="648"/>
      <c r="AK97" s="648">
        <v>3</v>
      </c>
      <c r="AL97" s="648"/>
      <c r="AM97" s="648"/>
      <c r="AN97" s="648"/>
      <c r="AO97" s="648">
        <v>4</v>
      </c>
      <c r="AP97" s="648"/>
      <c r="AQ97" s="648"/>
      <c r="AR97" s="648"/>
      <c r="AS97" s="648">
        <v>5</v>
      </c>
      <c r="AT97" s="648"/>
      <c r="AU97" s="648"/>
      <c r="AV97" s="648"/>
      <c r="AW97" s="648">
        <v>6</v>
      </c>
      <c r="AX97" s="648"/>
      <c r="AY97" s="648"/>
      <c r="AZ97" s="648"/>
      <c r="BA97" s="648">
        <v>7</v>
      </c>
      <c r="BB97" s="648"/>
      <c r="BC97" s="648"/>
      <c r="BD97" s="648"/>
      <c r="BE97" s="648">
        <v>8</v>
      </c>
      <c r="BF97" s="648"/>
      <c r="BG97" s="648"/>
      <c r="BH97" s="648"/>
    </row>
    <row r="98" ht="15.95" customHeight="1" spans="1:60">
      <c r="A98" s="803" t="s">
        <v>1151</v>
      </c>
      <c r="B98" s="724"/>
      <c r="C98" s="724"/>
      <c r="D98" s="724"/>
      <c r="E98" s="724"/>
      <c r="F98" s="724"/>
      <c r="G98" s="740"/>
      <c r="H98" s="809"/>
      <c r="I98" s="809"/>
      <c r="J98" s="809"/>
      <c r="K98" s="809"/>
      <c r="L98" s="809"/>
      <c r="M98" s="809"/>
      <c r="N98" s="809"/>
      <c r="O98" s="809"/>
      <c r="P98" s="809"/>
      <c r="Q98" s="804" t="s">
        <v>900</v>
      </c>
      <c r="R98" s="805"/>
      <c r="S98" s="805"/>
      <c r="T98" s="806"/>
      <c r="U98" s="648" t="s">
        <v>755</v>
      </c>
      <c r="V98" s="648"/>
      <c r="W98" s="648"/>
      <c r="X98" s="648"/>
      <c r="Y98" s="804"/>
      <c r="Z98" s="805"/>
      <c r="AA98" s="805"/>
      <c r="AB98" s="806"/>
      <c r="AC98" s="809"/>
      <c r="AD98" s="809"/>
      <c r="AE98" s="809"/>
      <c r="AF98" s="809"/>
      <c r="AG98" s="809"/>
      <c r="AH98" s="809"/>
      <c r="AI98" s="809"/>
      <c r="AJ98" s="809"/>
      <c r="AK98" s="809"/>
      <c r="AL98" s="809"/>
      <c r="AM98" s="809"/>
      <c r="AN98" s="809"/>
      <c r="AO98" s="809"/>
      <c r="AP98" s="809"/>
      <c r="AQ98" s="809"/>
      <c r="AR98" s="809"/>
      <c r="AS98" s="809"/>
      <c r="AT98" s="809"/>
      <c r="AU98" s="809"/>
      <c r="AV98" s="809"/>
      <c r="AW98" s="809"/>
      <c r="AX98" s="809"/>
      <c r="AY98" s="809"/>
      <c r="AZ98" s="809"/>
      <c r="BA98" s="809"/>
      <c r="BB98" s="809"/>
      <c r="BC98" s="809"/>
      <c r="BD98" s="809"/>
      <c r="BE98" s="809"/>
      <c r="BF98" s="809"/>
      <c r="BG98" s="809"/>
      <c r="BH98" s="809"/>
    </row>
    <row r="99" ht="15.95" customHeight="1" spans="1:60">
      <c r="A99" s="803" t="s">
        <v>1152</v>
      </c>
      <c r="B99" s="724"/>
      <c r="C99" s="724"/>
      <c r="D99" s="724"/>
      <c r="E99" s="724"/>
      <c r="F99" s="724"/>
      <c r="G99" s="740"/>
      <c r="H99" s="810"/>
      <c r="I99" s="836"/>
      <c r="J99" s="836"/>
      <c r="K99" s="836"/>
      <c r="L99" s="836"/>
      <c r="M99" s="836"/>
      <c r="N99" s="836"/>
      <c r="O99" s="836"/>
      <c r="P99" s="836"/>
      <c r="Q99" s="836"/>
      <c r="R99" s="836"/>
      <c r="S99" s="836"/>
      <c r="T99" s="846"/>
      <c r="U99" s="648" t="s">
        <v>757</v>
      </c>
      <c r="V99" s="648"/>
      <c r="W99" s="648"/>
      <c r="X99" s="648"/>
      <c r="Y99" s="804"/>
      <c r="Z99" s="805"/>
      <c r="AA99" s="805"/>
      <c r="AB99" s="806"/>
      <c r="AC99" s="809"/>
      <c r="AD99" s="809"/>
      <c r="AE99" s="809"/>
      <c r="AF99" s="809"/>
      <c r="AG99" s="809"/>
      <c r="AH99" s="809"/>
      <c r="AI99" s="809"/>
      <c r="AJ99" s="809"/>
      <c r="AK99" s="809"/>
      <c r="AL99" s="809"/>
      <c r="AM99" s="809"/>
      <c r="AN99" s="809"/>
      <c r="AO99" s="809"/>
      <c r="AP99" s="809"/>
      <c r="AQ99" s="809"/>
      <c r="AR99" s="809"/>
      <c r="AS99" s="809"/>
      <c r="AT99" s="809"/>
      <c r="AU99" s="809"/>
      <c r="AV99" s="809"/>
      <c r="AW99" s="809"/>
      <c r="AX99" s="809"/>
      <c r="AY99" s="809"/>
      <c r="AZ99" s="809"/>
      <c r="BA99" s="809"/>
      <c r="BB99" s="809"/>
      <c r="BC99" s="809"/>
      <c r="BD99" s="809"/>
      <c r="BE99" s="809"/>
      <c r="BF99" s="809"/>
      <c r="BG99" s="809"/>
      <c r="BH99" s="809"/>
    </row>
    <row r="100" ht="15.95" customHeight="1" spans="1:60">
      <c r="A100" s="803" t="s">
        <v>1153</v>
      </c>
      <c r="B100" s="724"/>
      <c r="C100" s="724"/>
      <c r="D100" s="724"/>
      <c r="E100" s="724"/>
      <c r="F100" s="724"/>
      <c r="G100" s="740"/>
      <c r="H100" s="809"/>
      <c r="I100" s="809"/>
      <c r="J100" s="809"/>
      <c r="K100" s="809"/>
      <c r="L100" s="809"/>
      <c r="M100" s="809"/>
      <c r="N100" s="809"/>
      <c r="O100" s="809"/>
      <c r="P100" s="809"/>
      <c r="Q100" s="696"/>
      <c r="R100" s="696"/>
      <c r="S100" s="696"/>
      <c r="T100" s="696"/>
      <c r="U100" s="648" t="s">
        <v>759</v>
      </c>
      <c r="V100" s="648"/>
      <c r="W100" s="648"/>
      <c r="X100" s="648"/>
      <c r="Y100" s="804"/>
      <c r="Z100" s="805"/>
      <c r="AA100" s="805"/>
      <c r="AB100" s="806"/>
      <c r="AC100" s="809"/>
      <c r="AD100" s="809"/>
      <c r="AE100" s="809"/>
      <c r="AF100" s="809"/>
      <c r="AG100" s="809"/>
      <c r="AH100" s="809"/>
      <c r="AI100" s="809"/>
      <c r="AJ100" s="809"/>
      <c r="AK100" s="809"/>
      <c r="AL100" s="809"/>
      <c r="AM100" s="809"/>
      <c r="AN100" s="809"/>
      <c r="AO100" s="809"/>
      <c r="AP100" s="809"/>
      <c r="AQ100" s="809"/>
      <c r="AR100" s="809"/>
      <c r="AS100" s="809"/>
      <c r="AT100" s="809"/>
      <c r="AU100" s="809"/>
      <c r="AV100" s="809"/>
      <c r="AW100" s="809"/>
      <c r="AX100" s="809"/>
      <c r="AY100" s="809"/>
      <c r="AZ100" s="809"/>
      <c r="BA100" s="809"/>
      <c r="BB100" s="809"/>
      <c r="BC100" s="809"/>
      <c r="BD100" s="809"/>
      <c r="BE100" s="809"/>
      <c r="BF100" s="809"/>
      <c r="BG100" s="809"/>
      <c r="BH100" s="809"/>
    </row>
    <row r="101" ht="15.95" customHeight="1" spans="1:60">
      <c r="A101" s="802" t="s">
        <v>1154</v>
      </c>
      <c r="B101" s="742"/>
      <c r="C101" s="742"/>
      <c r="D101" s="742"/>
      <c r="E101" s="742"/>
      <c r="F101" s="742"/>
      <c r="G101" s="742"/>
      <c r="H101" s="742"/>
      <c r="I101" s="742"/>
      <c r="J101" s="742"/>
      <c r="K101" s="742"/>
      <c r="L101" s="742"/>
      <c r="M101" s="742"/>
      <c r="N101" s="742"/>
      <c r="O101" s="742"/>
      <c r="P101" s="742"/>
      <c r="Q101" s="742"/>
      <c r="R101" s="742"/>
      <c r="S101" s="742"/>
      <c r="T101" s="742"/>
      <c r="U101" s="742"/>
      <c r="V101" s="742"/>
      <c r="W101" s="742"/>
      <c r="X101" s="742"/>
      <c r="Y101" s="742"/>
      <c r="Z101" s="742"/>
      <c r="AA101" s="742"/>
      <c r="AB101" s="742"/>
      <c r="AC101" s="742"/>
      <c r="AD101" s="742"/>
      <c r="AE101" s="742"/>
      <c r="AF101" s="742"/>
      <c r="AG101" s="742"/>
      <c r="AH101" s="742"/>
      <c r="AI101" s="742"/>
      <c r="AJ101" s="742"/>
      <c r="AK101" s="742"/>
      <c r="AL101" s="742"/>
      <c r="AM101" s="742"/>
      <c r="AN101" s="742"/>
      <c r="AO101" s="742"/>
      <c r="AP101" s="742"/>
      <c r="AQ101" s="742"/>
      <c r="AR101" s="742"/>
      <c r="AS101" s="742"/>
      <c r="AT101" s="742"/>
      <c r="AU101" s="742"/>
      <c r="AV101" s="742"/>
      <c r="AW101" s="742"/>
      <c r="AX101" s="742"/>
      <c r="AY101" s="742"/>
      <c r="AZ101" s="742"/>
      <c r="BA101" s="742"/>
      <c r="BB101" s="742"/>
      <c r="BC101" s="742"/>
      <c r="BD101" s="742"/>
      <c r="BE101" s="742"/>
      <c r="BF101" s="742"/>
      <c r="BG101" s="742"/>
      <c r="BH101" s="742"/>
    </row>
    <row r="102" ht="15.95" customHeight="1" spans="1:60">
      <c r="A102" s="658" t="s">
        <v>1155</v>
      </c>
      <c r="B102" s="658"/>
      <c r="C102" s="658"/>
      <c r="D102" s="658"/>
      <c r="E102" s="658"/>
      <c r="F102" s="658"/>
      <c r="G102" s="658"/>
      <c r="H102" s="760"/>
      <c r="I102" s="760"/>
      <c r="J102" s="760"/>
      <c r="K102" s="760"/>
      <c r="L102" s="760"/>
      <c r="M102" s="760"/>
      <c r="N102" s="760"/>
      <c r="O102" s="760"/>
      <c r="P102" s="760"/>
      <c r="Q102" s="760"/>
      <c r="R102" s="760"/>
      <c r="S102" s="760"/>
      <c r="T102" s="760"/>
      <c r="U102" s="807"/>
      <c r="V102" s="811"/>
      <c r="W102" s="811"/>
      <c r="X102" s="811"/>
      <c r="Y102" s="811"/>
      <c r="Z102" s="811"/>
      <c r="AA102" s="811"/>
      <c r="AB102" s="811"/>
      <c r="AC102" s="811"/>
      <c r="AD102" s="811"/>
      <c r="AE102" s="811"/>
      <c r="AF102" s="811"/>
      <c r="AG102" s="811"/>
      <c r="AH102" s="811"/>
      <c r="AI102" s="811"/>
      <c r="AJ102" s="811"/>
      <c r="AK102" s="811"/>
      <c r="AL102" s="811"/>
      <c r="AM102" s="811"/>
      <c r="AN102" s="811"/>
      <c r="AO102" s="811"/>
      <c r="AP102" s="811"/>
      <c r="AQ102" s="811"/>
      <c r="AR102" s="811"/>
      <c r="AS102" s="811"/>
      <c r="AT102" s="811"/>
      <c r="AU102" s="811"/>
      <c r="AV102" s="811"/>
      <c r="AW102" s="811"/>
      <c r="AX102" s="811"/>
      <c r="AY102" s="811"/>
      <c r="AZ102" s="811"/>
      <c r="BA102" s="811"/>
      <c r="BB102" s="811"/>
      <c r="BC102" s="811"/>
      <c r="BD102" s="811"/>
      <c r="BE102" s="811"/>
      <c r="BF102" s="811"/>
      <c r="BG102" s="811"/>
      <c r="BH102" s="815"/>
    </row>
    <row r="103" ht="15.95" customHeight="1" spans="1:60">
      <c r="A103" s="803" t="s">
        <v>1156</v>
      </c>
      <c r="B103" s="724"/>
      <c r="C103" s="724"/>
      <c r="D103" s="740"/>
      <c r="E103" s="807" t="s">
        <v>1157</v>
      </c>
      <c r="F103" s="811"/>
      <c r="G103" s="811"/>
      <c r="H103" s="811"/>
      <c r="I103" s="811"/>
      <c r="J103" s="811"/>
      <c r="K103" s="811"/>
      <c r="L103" s="811"/>
      <c r="M103" s="807" t="s">
        <v>1158</v>
      </c>
      <c r="N103" s="811"/>
      <c r="O103" s="811"/>
      <c r="P103" s="811"/>
      <c r="Q103" s="811"/>
      <c r="R103" s="811"/>
      <c r="S103" s="811"/>
      <c r="T103" s="811"/>
      <c r="U103" s="807" t="s">
        <v>1159</v>
      </c>
      <c r="V103" s="811"/>
      <c r="W103" s="811"/>
      <c r="X103" s="811"/>
      <c r="Y103" s="811"/>
      <c r="Z103" s="811"/>
      <c r="AA103" s="811"/>
      <c r="AB103" s="811"/>
      <c r="AC103" s="807" t="s">
        <v>1160</v>
      </c>
      <c r="AD103" s="811"/>
      <c r="AE103" s="811"/>
      <c r="AF103" s="811"/>
      <c r="AG103" s="811"/>
      <c r="AH103" s="811"/>
      <c r="AI103" s="804" t="s">
        <v>894</v>
      </c>
      <c r="AJ103" s="805"/>
      <c r="AK103" s="807" t="s">
        <v>1161</v>
      </c>
      <c r="AL103" s="811"/>
      <c r="AM103" s="811"/>
      <c r="AN103" s="811"/>
      <c r="AO103" s="811"/>
      <c r="AP103" s="811"/>
      <c r="AQ103" s="804" t="s">
        <v>894</v>
      </c>
      <c r="AR103" s="805"/>
      <c r="AS103" s="807" t="s">
        <v>1162</v>
      </c>
      <c r="AT103" s="811"/>
      <c r="AU103" s="811"/>
      <c r="AV103" s="811"/>
      <c r="AW103" s="811"/>
      <c r="AX103" s="811"/>
      <c r="AY103" s="804" t="s">
        <v>900</v>
      </c>
      <c r="AZ103" s="805"/>
      <c r="BA103" s="807" t="s">
        <v>1163</v>
      </c>
      <c r="BB103" s="811"/>
      <c r="BC103" s="811"/>
      <c r="BD103" s="811"/>
      <c r="BE103" s="811"/>
      <c r="BF103" s="811"/>
      <c r="BG103" s="804" t="s">
        <v>900</v>
      </c>
      <c r="BH103" s="805"/>
    </row>
    <row r="104" ht="15.95" customHeight="1" spans="1:60">
      <c r="A104" s="803">
        <v>1</v>
      </c>
      <c r="B104" s="724"/>
      <c r="C104" s="724"/>
      <c r="D104" s="740"/>
      <c r="E104" s="809"/>
      <c r="F104" s="809"/>
      <c r="G104" s="809"/>
      <c r="H104" s="809"/>
      <c r="I104" s="809"/>
      <c r="J104" s="809"/>
      <c r="K104" s="809"/>
      <c r="L104" s="809"/>
      <c r="M104" s="809"/>
      <c r="N104" s="809"/>
      <c r="O104" s="809"/>
      <c r="P104" s="809"/>
      <c r="Q104" s="809"/>
      <c r="R104" s="809"/>
      <c r="S104" s="809"/>
      <c r="T104" s="809"/>
      <c r="U104" s="809"/>
      <c r="V104" s="809"/>
      <c r="W104" s="809"/>
      <c r="X104" s="809"/>
      <c r="Y104" s="809"/>
      <c r="Z104" s="809"/>
      <c r="AA104" s="809"/>
      <c r="AB104" s="809"/>
      <c r="AC104" s="809"/>
      <c r="AD104" s="809"/>
      <c r="AE104" s="809"/>
      <c r="AF104" s="809"/>
      <c r="AG104" s="809"/>
      <c r="AH104" s="809"/>
      <c r="AI104" s="809"/>
      <c r="AJ104" s="809"/>
      <c r="AK104" s="809"/>
      <c r="AL104" s="809"/>
      <c r="AM104" s="809"/>
      <c r="AN104" s="809"/>
      <c r="AO104" s="809"/>
      <c r="AP104" s="809"/>
      <c r="AQ104" s="809"/>
      <c r="AR104" s="809"/>
      <c r="AS104" s="809"/>
      <c r="AT104" s="809"/>
      <c r="AU104" s="809"/>
      <c r="AV104" s="809"/>
      <c r="AW104" s="809"/>
      <c r="AX104" s="809"/>
      <c r="AY104" s="809"/>
      <c r="AZ104" s="809"/>
      <c r="BA104" s="809"/>
      <c r="BB104" s="809"/>
      <c r="BC104" s="809"/>
      <c r="BD104" s="809"/>
      <c r="BE104" s="809"/>
      <c r="BF104" s="809"/>
      <c r="BG104" s="809"/>
      <c r="BH104" s="809"/>
    </row>
    <row r="105" ht="15.95" customHeight="1" spans="1:60">
      <c r="A105" s="803">
        <v>2</v>
      </c>
      <c r="B105" s="724"/>
      <c r="C105" s="724"/>
      <c r="D105" s="740"/>
      <c r="E105" s="809"/>
      <c r="F105" s="809"/>
      <c r="G105" s="809"/>
      <c r="H105" s="809"/>
      <c r="I105" s="809"/>
      <c r="J105" s="809"/>
      <c r="K105" s="809"/>
      <c r="L105" s="809"/>
      <c r="M105" s="809"/>
      <c r="N105" s="809"/>
      <c r="O105" s="809"/>
      <c r="P105" s="809"/>
      <c r="Q105" s="809"/>
      <c r="R105" s="809"/>
      <c r="S105" s="809"/>
      <c r="T105" s="809"/>
      <c r="U105" s="809"/>
      <c r="V105" s="809"/>
      <c r="W105" s="809"/>
      <c r="X105" s="809"/>
      <c r="Y105" s="809"/>
      <c r="Z105" s="809"/>
      <c r="AA105" s="809"/>
      <c r="AB105" s="809"/>
      <c r="AC105" s="809"/>
      <c r="AD105" s="809"/>
      <c r="AE105" s="809"/>
      <c r="AF105" s="809"/>
      <c r="AG105" s="809"/>
      <c r="AH105" s="809"/>
      <c r="AI105" s="809"/>
      <c r="AJ105" s="809"/>
      <c r="AK105" s="809"/>
      <c r="AL105" s="809"/>
      <c r="AM105" s="809"/>
      <c r="AN105" s="809"/>
      <c r="AO105" s="809"/>
      <c r="AP105" s="809"/>
      <c r="AQ105" s="809"/>
      <c r="AR105" s="809"/>
      <c r="AS105" s="809"/>
      <c r="AT105" s="809"/>
      <c r="AU105" s="809"/>
      <c r="AV105" s="809"/>
      <c r="AW105" s="809"/>
      <c r="AX105" s="809"/>
      <c r="AY105" s="809"/>
      <c r="AZ105" s="809"/>
      <c r="BA105" s="809"/>
      <c r="BB105" s="809"/>
      <c r="BC105" s="809"/>
      <c r="BD105" s="809"/>
      <c r="BE105" s="809"/>
      <c r="BF105" s="809"/>
      <c r="BG105" s="809"/>
      <c r="BH105" s="809"/>
    </row>
    <row r="106" ht="24" customHeight="1" spans="1:60">
      <c r="A106" s="812" t="str">
        <f>IF(目录!G2="中文",对照!Z90,IF(目录!G2="English",对照!AA90,对照!Z90))</f>
        <v>监测项目</v>
      </c>
      <c r="B106" s="813"/>
      <c r="C106" s="813"/>
      <c r="D106" s="813"/>
      <c r="E106" s="813"/>
      <c r="F106" s="813"/>
      <c r="G106" s="813"/>
      <c r="H106" s="813"/>
      <c r="I106" s="813"/>
      <c r="J106" s="813"/>
      <c r="K106" s="813"/>
      <c r="L106" s="813"/>
      <c r="M106" s="813"/>
      <c r="N106" s="813"/>
      <c r="O106" s="813"/>
      <c r="P106" s="813"/>
      <c r="Q106" s="813"/>
      <c r="R106" s="813"/>
      <c r="S106" s="813"/>
      <c r="T106" s="813"/>
      <c r="U106" s="813"/>
      <c r="V106" s="813"/>
      <c r="W106" s="813"/>
      <c r="X106" s="813"/>
      <c r="Y106" s="813"/>
      <c r="Z106" s="813"/>
      <c r="AA106" s="813"/>
      <c r="AB106" s="813"/>
      <c r="AC106" s="813"/>
      <c r="AD106" s="813"/>
      <c r="AE106" s="813"/>
      <c r="AF106" s="813"/>
      <c r="AG106" s="813"/>
      <c r="AH106" s="813"/>
      <c r="AI106" s="813"/>
      <c r="AJ106" s="813"/>
      <c r="AK106" s="813"/>
      <c r="AL106" s="813"/>
      <c r="AM106" s="813"/>
      <c r="AN106" s="813"/>
      <c r="AO106" s="813"/>
      <c r="AP106" s="813"/>
      <c r="AQ106" s="813"/>
      <c r="AR106" s="813"/>
      <c r="AS106" s="813"/>
      <c r="AT106" s="813"/>
      <c r="AU106" s="813"/>
      <c r="AV106" s="813"/>
      <c r="AW106" s="813"/>
      <c r="AX106" s="813"/>
      <c r="AY106" s="813"/>
      <c r="AZ106" s="813"/>
      <c r="BA106" s="813"/>
      <c r="BB106" s="813"/>
      <c r="BC106" s="813"/>
      <c r="BD106" s="813"/>
      <c r="BE106" s="813"/>
      <c r="BF106" s="813"/>
      <c r="BG106" s="813"/>
      <c r="BH106" s="871"/>
    </row>
    <row r="107" spans="1:60">
      <c r="A107" s="647" t="s">
        <v>1164</v>
      </c>
      <c r="B107" s="648"/>
      <c r="C107" s="648"/>
      <c r="D107" s="648"/>
      <c r="E107" s="648"/>
      <c r="F107" s="648"/>
      <c r="G107" s="648"/>
      <c r="H107" s="648"/>
      <c r="I107" s="662"/>
      <c r="J107" s="662"/>
      <c r="K107" s="662"/>
      <c r="L107" s="662"/>
      <c r="M107" s="662"/>
      <c r="N107" s="662"/>
      <c r="O107" s="662"/>
      <c r="P107" s="662"/>
      <c r="Q107" s="696" t="s">
        <v>894</v>
      </c>
      <c r="R107" s="696"/>
      <c r="S107" s="696"/>
      <c r="T107" s="696"/>
      <c r="U107" s="648" t="s">
        <v>355</v>
      </c>
      <c r="V107" s="648"/>
      <c r="W107" s="648"/>
      <c r="X107" s="648"/>
      <c r="Y107" s="648"/>
      <c r="Z107" s="648"/>
      <c r="AA107" s="648"/>
      <c r="AB107" s="648"/>
      <c r="AC107" s="662"/>
      <c r="AD107" s="662"/>
      <c r="AE107" s="662"/>
      <c r="AF107" s="662"/>
      <c r="AG107" s="662"/>
      <c r="AH107" s="662"/>
      <c r="AI107" s="662"/>
      <c r="AJ107" s="662"/>
      <c r="AK107" s="696" t="s">
        <v>894</v>
      </c>
      <c r="AL107" s="696"/>
      <c r="AM107" s="696"/>
      <c r="AN107" s="696"/>
      <c r="AO107" s="648" t="s">
        <v>408</v>
      </c>
      <c r="AP107" s="648"/>
      <c r="AQ107" s="648"/>
      <c r="AR107" s="648"/>
      <c r="AS107" s="648"/>
      <c r="AT107" s="648"/>
      <c r="AU107" s="648"/>
      <c r="AV107" s="648"/>
      <c r="AW107" s="662"/>
      <c r="AX107" s="662"/>
      <c r="AY107" s="662"/>
      <c r="AZ107" s="662"/>
      <c r="BA107" s="662"/>
      <c r="BB107" s="662"/>
      <c r="BC107" s="662"/>
      <c r="BD107" s="662"/>
      <c r="BE107" s="696" t="s">
        <v>894</v>
      </c>
      <c r="BF107" s="696"/>
      <c r="BG107" s="696"/>
      <c r="BH107" s="770"/>
    </row>
    <row r="108" spans="1:60">
      <c r="A108" s="814" t="s">
        <v>1146</v>
      </c>
      <c r="B108" s="811"/>
      <c r="C108" s="811"/>
      <c r="D108" s="811"/>
      <c r="E108" s="811"/>
      <c r="F108" s="811"/>
      <c r="G108" s="811"/>
      <c r="H108" s="815"/>
      <c r="I108" s="687"/>
      <c r="J108" s="670"/>
      <c r="K108" s="670"/>
      <c r="L108" s="670"/>
      <c r="M108" s="670"/>
      <c r="N108" s="670"/>
      <c r="O108" s="670"/>
      <c r="P108" s="688"/>
      <c r="Q108" s="847" t="s">
        <v>894</v>
      </c>
      <c r="R108" s="848"/>
      <c r="S108" s="848"/>
      <c r="T108" s="849"/>
      <c r="U108" s="807" t="s">
        <v>1165</v>
      </c>
      <c r="V108" s="811"/>
      <c r="W108" s="811"/>
      <c r="X108" s="811"/>
      <c r="Y108" s="811"/>
      <c r="Z108" s="811"/>
      <c r="AA108" s="811"/>
      <c r="AB108" s="815"/>
      <c r="AC108" s="687"/>
      <c r="AD108" s="670"/>
      <c r="AE108" s="670"/>
      <c r="AF108" s="670"/>
      <c r="AG108" s="670"/>
      <c r="AH108" s="670"/>
      <c r="AI108" s="670"/>
      <c r="AJ108" s="688"/>
      <c r="AK108" s="847" t="s">
        <v>900</v>
      </c>
      <c r="AL108" s="848"/>
      <c r="AM108" s="848"/>
      <c r="AN108" s="849"/>
      <c r="AO108" s="807"/>
      <c r="AP108" s="811"/>
      <c r="AQ108" s="811"/>
      <c r="AR108" s="811"/>
      <c r="AS108" s="811"/>
      <c r="AT108" s="811"/>
      <c r="AU108" s="811"/>
      <c r="AV108" s="811"/>
      <c r="AW108" s="811"/>
      <c r="AX108" s="811"/>
      <c r="AY108" s="811"/>
      <c r="AZ108" s="811"/>
      <c r="BA108" s="811"/>
      <c r="BB108" s="811"/>
      <c r="BC108" s="811"/>
      <c r="BD108" s="811"/>
      <c r="BE108" s="811"/>
      <c r="BF108" s="811"/>
      <c r="BG108" s="811"/>
      <c r="BH108" s="869"/>
    </row>
    <row r="109" spans="1:60">
      <c r="A109" s="661" t="s">
        <v>870</v>
      </c>
      <c r="B109" s="662"/>
      <c r="C109" s="662"/>
      <c r="D109" s="662"/>
      <c r="E109" s="662"/>
      <c r="F109" s="662"/>
      <c r="G109" s="662"/>
      <c r="H109" s="662"/>
      <c r="I109" s="662"/>
      <c r="J109" s="662"/>
      <c r="K109" s="662"/>
      <c r="L109" s="662"/>
      <c r="M109" s="662"/>
      <c r="N109" s="662"/>
      <c r="O109" s="662"/>
      <c r="P109" s="662"/>
      <c r="Q109" s="662"/>
      <c r="R109" s="662"/>
      <c r="S109" s="662"/>
      <c r="T109" s="662"/>
      <c r="U109" s="662"/>
      <c r="V109" s="662"/>
      <c r="W109" s="662"/>
      <c r="X109" s="662"/>
      <c r="Y109" s="662"/>
      <c r="Z109" s="662"/>
      <c r="AA109" s="662"/>
      <c r="AB109" s="662"/>
      <c r="AC109" s="662"/>
      <c r="AD109" s="662"/>
      <c r="AE109" s="662"/>
      <c r="AF109" s="662"/>
      <c r="AG109" s="662"/>
      <c r="AH109" s="662"/>
      <c r="AI109" s="662"/>
      <c r="AJ109" s="662"/>
      <c r="AK109" s="662"/>
      <c r="AL109" s="662"/>
      <c r="AM109" s="662"/>
      <c r="AN109" s="662"/>
      <c r="AO109" s="662"/>
      <c r="AP109" s="662"/>
      <c r="AQ109" s="662"/>
      <c r="AR109" s="662"/>
      <c r="AS109" s="662"/>
      <c r="AT109" s="662"/>
      <c r="AU109" s="662"/>
      <c r="AV109" s="662"/>
      <c r="AW109" s="662"/>
      <c r="AX109" s="662"/>
      <c r="AY109" s="662"/>
      <c r="AZ109" s="662"/>
      <c r="BA109" s="662"/>
      <c r="BB109" s="662"/>
      <c r="BC109" s="662"/>
      <c r="BD109" s="662"/>
      <c r="BE109" s="662"/>
      <c r="BF109" s="662"/>
      <c r="BG109" s="662"/>
      <c r="BH109" s="775"/>
    </row>
    <row r="110" spans="1:60">
      <c r="A110" s="647" t="s">
        <v>259</v>
      </c>
      <c r="B110" s="648"/>
      <c r="C110" s="648"/>
      <c r="D110" s="648"/>
      <c r="E110" s="648"/>
      <c r="F110" s="648"/>
      <c r="G110" s="648"/>
      <c r="H110" s="648"/>
      <c r="I110" s="662"/>
      <c r="J110" s="662"/>
      <c r="K110" s="662"/>
      <c r="L110" s="662"/>
      <c r="M110" s="662"/>
      <c r="N110" s="662"/>
      <c r="O110" s="662"/>
      <c r="P110" s="662"/>
      <c r="Q110" s="696" t="s">
        <v>894</v>
      </c>
      <c r="R110" s="696"/>
      <c r="S110" s="696"/>
      <c r="T110" s="696"/>
      <c r="U110" s="648" t="s">
        <v>328</v>
      </c>
      <c r="V110" s="648"/>
      <c r="W110" s="648"/>
      <c r="X110" s="648"/>
      <c r="Y110" s="648"/>
      <c r="Z110" s="648"/>
      <c r="AA110" s="648"/>
      <c r="AB110" s="648"/>
      <c r="AC110" s="662"/>
      <c r="AD110" s="662"/>
      <c r="AE110" s="662"/>
      <c r="AF110" s="662"/>
      <c r="AG110" s="662"/>
      <c r="AH110" s="662"/>
      <c r="AI110" s="662"/>
      <c r="AJ110" s="662"/>
      <c r="AK110" s="696" t="s">
        <v>894</v>
      </c>
      <c r="AL110" s="696"/>
      <c r="AM110" s="696"/>
      <c r="AN110" s="696"/>
      <c r="AO110" s="648" t="s">
        <v>782</v>
      </c>
      <c r="AP110" s="648"/>
      <c r="AQ110" s="648"/>
      <c r="AR110" s="648"/>
      <c r="AS110" s="648"/>
      <c r="AT110" s="648"/>
      <c r="AU110" s="648"/>
      <c r="AV110" s="648"/>
      <c r="AW110" s="662"/>
      <c r="AX110" s="662"/>
      <c r="AY110" s="662"/>
      <c r="AZ110" s="662"/>
      <c r="BA110" s="662"/>
      <c r="BB110" s="662"/>
      <c r="BC110" s="662"/>
      <c r="BD110" s="662"/>
      <c r="BE110" s="696" t="s">
        <v>894</v>
      </c>
      <c r="BF110" s="696"/>
      <c r="BG110" s="696"/>
      <c r="BH110" s="770"/>
    </row>
    <row r="111" spans="1:60">
      <c r="A111" s="647" t="s">
        <v>1166</v>
      </c>
      <c r="B111" s="648"/>
      <c r="C111" s="648"/>
      <c r="D111" s="648"/>
      <c r="E111" s="648"/>
      <c r="F111" s="648"/>
      <c r="G111" s="648"/>
      <c r="H111" s="648"/>
      <c r="I111" s="662"/>
      <c r="J111" s="662"/>
      <c r="K111" s="662"/>
      <c r="L111" s="662"/>
      <c r="M111" s="662"/>
      <c r="N111" s="662"/>
      <c r="O111" s="662"/>
      <c r="P111" s="662"/>
      <c r="Q111" s="696" t="s">
        <v>894</v>
      </c>
      <c r="R111" s="696"/>
      <c r="S111" s="696"/>
      <c r="T111" s="696"/>
      <c r="U111" s="648" t="s">
        <v>1167</v>
      </c>
      <c r="V111" s="648"/>
      <c r="W111" s="648"/>
      <c r="X111" s="648"/>
      <c r="Y111" s="648"/>
      <c r="Z111" s="648"/>
      <c r="AA111" s="648"/>
      <c r="AB111" s="648"/>
      <c r="AC111" s="662"/>
      <c r="AD111" s="662"/>
      <c r="AE111" s="662"/>
      <c r="AF111" s="662"/>
      <c r="AG111" s="662"/>
      <c r="AH111" s="662"/>
      <c r="AI111" s="662"/>
      <c r="AJ111" s="662"/>
      <c r="AK111" s="696" t="s">
        <v>894</v>
      </c>
      <c r="AL111" s="696"/>
      <c r="AM111" s="696"/>
      <c r="AN111" s="696"/>
      <c r="AO111" s="807"/>
      <c r="AP111" s="811"/>
      <c r="AQ111" s="811"/>
      <c r="AR111" s="811"/>
      <c r="AS111" s="811"/>
      <c r="AT111" s="811"/>
      <c r="AU111" s="811"/>
      <c r="AV111" s="811"/>
      <c r="AW111" s="811"/>
      <c r="AX111" s="811"/>
      <c r="AY111" s="811"/>
      <c r="AZ111" s="811"/>
      <c r="BA111" s="811"/>
      <c r="BB111" s="811"/>
      <c r="BC111" s="811"/>
      <c r="BD111" s="811"/>
      <c r="BE111" s="811"/>
      <c r="BF111" s="811"/>
      <c r="BG111" s="811"/>
      <c r="BH111" s="815"/>
    </row>
    <row r="112" spans="1:60">
      <c r="A112" s="661" t="s">
        <v>759</v>
      </c>
      <c r="B112" s="662"/>
      <c r="C112" s="662"/>
      <c r="D112" s="662"/>
      <c r="E112" s="662"/>
      <c r="F112" s="662"/>
      <c r="G112" s="662"/>
      <c r="H112" s="662"/>
      <c r="I112" s="662"/>
      <c r="J112" s="662"/>
      <c r="K112" s="662"/>
      <c r="L112" s="662"/>
      <c r="M112" s="662"/>
      <c r="N112" s="662"/>
      <c r="O112" s="662"/>
      <c r="P112" s="662"/>
      <c r="Q112" s="662"/>
      <c r="R112" s="662"/>
      <c r="S112" s="662"/>
      <c r="T112" s="662"/>
      <c r="U112" s="662"/>
      <c r="V112" s="662"/>
      <c r="W112" s="662"/>
      <c r="X112" s="662"/>
      <c r="Y112" s="662"/>
      <c r="Z112" s="662"/>
      <c r="AA112" s="662"/>
      <c r="AB112" s="662"/>
      <c r="AC112" s="662"/>
      <c r="AD112" s="662"/>
      <c r="AE112" s="662"/>
      <c r="AF112" s="662"/>
      <c r="AG112" s="662"/>
      <c r="AH112" s="662"/>
      <c r="AI112" s="662"/>
      <c r="AJ112" s="662"/>
      <c r="AK112" s="662"/>
      <c r="AL112" s="662"/>
      <c r="AM112" s="662"/>
      <c r="AN112" s="662"/>
      <c r="AO112" s="662"/>
      <c r="AP112" s="662"/>
      <c r="AQ112" s="662"/>
      <c r="AR112" s="662"/>
      <c r="AS112" s="662"/>
      <c r="AT112" s="662"/>
      <c r="AU112" s="662"/>
      <c r="AV112" s="662"/>
      <c r="AW112" s="662"/>
      <c r="AX112" s="662"/>
      <c r="AY112" s="662"/>
      <c r="AZ112" s="662"/>
      <c r="BA112" s="662"/>
      <c r="BB112" s="662"/>
      <c r="BC112" s="662"/>
      <c r="BD112" s="662"/>
      <c r="BE112" s="662"/>
      <c r="BF112" s="662"/>
      <c r="BG112" s="662"/>
      <c r="BH112" s="775"/>
    </row>
    <row r="113" spans="1:60">
      <c r="A113" s="647" t="s">
        <v>1168</v>
      </c>
      <c r="B113" s="648"/>
      <c r="C113" s="648"/>
      <c r="D113" s="648"/>
      <c r="E113" s="648"/>
      <c r="F113" s="648"/>
      <c r="G113" s="648"/>
      <c r="H113" s="648"/>
      <c r="I113" s="662"/>
      <c r="J113" s="662"/>
      <c r="K113" s="662"/>
      <c r="L113" s="662"/>
      <c r="M113" s="662"/>
      <c r="N113" s="662"/>
      <c r="O113" s="662"/>
      <c r="P113" s="662"/>
      <c r="Q113" s="696" t="s">
        <v>900</v>
      </c>
      <c r="R113" s="696"/>
      <c r="S113" s="696"/>
      <c r="T113" s="696"/>
      <c r="U113" s="648" t="s">
        <v>1169</v>
      </c>
      <c r="V113" s="648"/>
      <c r="W113" s="648"/>
      <c r="X113" s="648"/>
      <c r="Y113" s="648"/>
      <c r="Z113" s="648"/>
      <c r="AA113" s="648"/>
      <c r="AB113" s="648"/>
      <c r="AC113" s="662"/>
      <c r="AD113" s="662"/>
      <c r="AE113" s="662"/>
      <c r="AF113" s="662"/>
      <c r="AG113" s="662"/>
      <c r="AH113" s="662"/>
      <c r="AI113" s="662"/>
      <c r="AJ113" s="662"/>
      <c r="AK113" s="696" t="s">
        <v>900</v>
      </c>
      <c r="AL113" s="696"/>
      <c r="AM113" s="696"/>
      <c r="AN113" s="696"/>
      <c r="AO113" s="648" t="s">
        <v>1170</v>
      </c>
      <c r="AP113" s="648"/>
      <c r="AQ113" s="648"/>
      <c r="AR113" s="648"/>
      <c r="AS113" s="648"/>
      <c r="AT113" s="648"/>
      <c r="AU113" s="648"/>
      <c r="AV113" s="648"/>
      <c r="AW113" s="662"/>
      <c r="AX113" s="662"/>
      <c r="AY113" s="662"/>
      <c r="AZ113" s="662"/>
      <c r="BA113" s="662"/>
      <c r="BB113" s="662"/>
      <c r="BC113" s="662"/>
      <c r="BD113" s="662"/>
      <c r="BE113" s="696" t="s">
        <v>900</v>
      </c>
      <c r="BF113" s="696"/>
      <c r="BG113" s="696"/>
      <c r="BH113" s="770"/>
    </row>
    <row r="114" spans="1:60">
      <c r="A114" s="647" t="s">
        <v>1171</v>
      </c>
      <c r="B114" s="648"/>
      <c r="C114" s="648"/>
      <c r="D114" s="648"/>
      <c r="E114" s="648"/>
      <c r="F114" s="648"/>
      <c r="G114" s="648"/>
      <c r="H114" s="648"/>
      <c r="I114" s="662"/>
      <c r="J114" s="662"/>
      <c r="K114" s="662"/>
      <c r="L114" s="662"/>
      <c r="M114" s="662"/>
      <c r="N114" s="662"/>
      <c r="O114" s="662"/>
      <c r="P114" s="662"/>
      <c r="Q114" s="696" t="s">
        <v>900</v>
      </c>
      <c r="R114" s="696"/>
      <c r="S114" s="696"/>
      <c r="T114" s="696"/>
      <c r="U114" s="648" t="s">
        <v>1172</v>
      </c>
      <c r="V114" s="648"/>
      <c r="W114" s="648"/>
      <c r="X114" s="648"/>
      <c r="Y114" s="648"/>
      <c r="Z114" s="648"/>
      <c r="AA114" s="648"/>
      <c r="AB114" s="648"/>
      <c r="AC114" s="662"/>
      <c r="AD114" s="662"/>
      <c r="AE114" s="662"/>
      <c r="AF114" s="662"/>
      <c r="AG114" s="662"/>
      <c r="AH114" s="662"/>
      <c r="AI114" s="662"/>
      <c r="AJ114" s="662"/>
      <c r="AK114" s="696" t="s">
        <v>900</v>
      </c>
      <c r="AL114" s="696"/>
      <c r="AM114" s="696"/>
      <c r="AN114" s="696"/>
      <c r="AO114" s="648" t="s">
        <v>1173</v>
      </c>
      <c r="AP114" s="648"/>
      <c r="AQ114" s="648"/>
      <c r="AR114" s="648"/>
      <c r="AS114" s="648"/>
      <c r="AT114" s="648"/>
      <c r="AU114" s="648"/>
      <c r="AV114" s="648"/>
      <c r="AW114" s="662"/>
      <c r="AX114" s="662"/>
      <c r="AY114" s="662"/>
      <c r="AZ114" s="662"/>
      <c r="BA114" s="662"/>
      <c r="BB114" s="662"/>
      <c r="BC114" s="662"/>
      <c r="BD114" s="662"/>
      <c r="BE114" s="696" t="s">
        <v>900</v>
      </c>
      <c r="BF114" s="696"/>
      <c r="BG114" s="696"/>
      <c r="BH114" s="770"/>
    </row>
    <row r="115" spans="1:60">
      <c r="A115" s="661" t="s">
        <v>755</v>
      </c>
      <c r="B115" s="662"/>
      <c r="C115" s="662"/>
      <c r="D115" s="662"/>
      <c r="E115" s="662"/>
      <c r="F115" s="662"/>
      <c r="G115" s="662"/>
      <c r="H115" s="662"/>
      <c r="I115" s="662"/>
      <c r="J115" s="662"/>
      <c r="K115" s="662"/>
      <c r="L115" s="662"/>
      <c r="M115" s="662"/>
      <c r="N115" s="662"/>
      <c r="O115" s="662"/>
      <c r="P115" s="662"/>
      <c r="Q115" s="662"/>
      <c r="R115" s="662"/>
      <c r="S115" s="662"/>
      <c r="T115" s="662"/>
      <c r="U115" s="662"/>
      <c r="V115" s="662"/>
      <c r="W115" s="662"/>
      <c r="X115" s="662"/>
      <c r="Y115" s="662"/>
      <c r="Z115" s="662"/>
      <c r="AA115" s="662"/>
      <c r="AB115" s="662"/>
      <c r="AC115" s="662"/>
      <c r="AD115" s="662"/>
      <c r="AE115" s="662"/>
      <c r="AF115" s="662"/>
      <c r="AG115" s="662"/>
      <c r="AH115" s="662"/>
      <c r="AI115" s="662"/>
      <c r="AJ115" s="662"/>
      <c r="AK115" s="662"/>
      <c r="AL115" s="662"/>
      <c r="AM115" s="662"/>
      <c r="AN115" s="662"/>
      <c r="AO115" s="662"/>
      <c r="AP115" s="662"/>
      <c r="AQ115" s="662"/>
      <c r="AR115" s="662"/>
      <c r="AS115" s="662"/>
      <c r="AT115" s="662"/>
      <c r="AU115" s="662"/>
      <c r="AV115" s="662"/>
      <c r="AW115" s="662"/>
      <c r="AX115" s="662"/>
      <c r="AY115" s="662"/>
      <c r="AZ115" s="662"/>
      <c r="BA115" s="662"/>
      <c r="BB115" s="662"/>
      <c r="BC115" s="662"/>
      <c r="BD115" s="662"/>
      <c r="BE115" s="662"/>
      <c r="BF115" s="662"/>
      <c r="BG115" s="662"/>
      <c r="BH115" s="775"/>
    </row>
    <row r="116" ht="15.95" customHeight="1" spans="1:60">
      <c r="A116" s="816" t="s">
        <v>1174</v>
      </c>
      <c r="B116" s="816"/>
      <c r="C116" s="816"/>
      <c r="D116" s="816"/>
      <c r="E116" s="816"/>
      <c r="F116" s="816"/>
      <c r="G116" s="816"/>
      <c r="H116" s="816"/>
      <c r="I116" s="662"/>
      <c r="J116" s="662"/>
      <c r="K116" s="662"/>
      <c r="L116" s="662"/>
      <c r="M116" s="662"/>
      <c r="N116" s="662"/>
      <c r="O116" s="662"/>
      <c r="P116" s="662"/>
      <c r="Q116" s="696" t="s">
        <v>903</v>
      </c>
      <c r="R116" s="696"/>
      <c r="S116" s="696"/>
      <c r="T116" s="696"/>
      <c r="U116" s="816" t="s">
        <v>1175</v>
      </c>
      <c r="V116" s="816"/>
      <c r="W116" s="816"/>
      <c r="X116" s="816"/>
      <c r="Y116" s="816"/>
      <c r="Z116" s="816"/>
      <c r="AA116" s="816"/>
      <c r="AB116" s="816"/>
      <c r="AC116" s="760"/>
      <c r="AD116" s="760"/>
      <c r="AE116" s="760"/>
      <c r="AF116" s="760"/>
      <c r="AG116" s="760"/>
      <c r="AH116" s="760"/>
      <c r="AI116" s="760"/>
      <c r="AJ116" s="760"/>
      <c r="AK116" s="696" t="s">
        <v>903</v>
      </c>
      <c r="AL116" s="696"/>
      <c r="AM116" s="696"/>
      <c r="AN116" s="696"/>
      <c r="AO116" s="816" t="s">
        <v>1138</v>
      </c>
      <c r="AP116" s="816"/>
      <c r="AQ116" s="816"/>
      <c r="AR116" s="816"/>
      <c r="AS116" s="816"/>
      <c r="AT116" s="816"/>
      <c r="AU116" s="816"/>
      <c r="AV116" s="816"/>
      <c r="AW116" s="760"/>
      <c r="AX116" s="760"/>
      <c r="AY116" s="760"/>
      <c r="AZ116" s="760"/>
      <c r="BA116" s="760"/>
      <c r="BB116" s="760"/>
      <c r="BC116" s="760"/>
      <c r="BD116" s="760"/>
      <c r="BE116" s="696" t="s">
        <v>903</v>
      </c>
      <c r="BF116" s="696"/>
      <c r="BG116" s="696"/>
      <c r="BH116" s="696"/>
    </row>
    <row r="117" ht="24" customHeight="1" spans="1:60">
      <c r="A117" s="812" t="str">
        <f>IF(目录!G2="中文",对照!Z102,IF(目录!G2="English",对照!AA102,对照!Z102))</f>
        <v>模具参数</v>
      </c>
      <c r="B117" s="813"/>
      <c r="C117" s="813"/>
      <c r="D117" s="813"/>
      <c r="E117" s="813"/>
      <c r="F117" s="813"/>
      <c r="G117" s="813"/>
      <c r="H117" s="813"/>
      <c r="I117" s="813"/>
      <c r="J117" s="813"/>
      <c r="K117" s="813"/>
      <c r="L117" s="813"/>
      <c r="M117" s="813"/>
      <c r="N117" s="813"/>
      <c r="O117" s="813"/>
      <c r="P117" s="813"/>
      <c r="Q117" s="813"/>
      <c r="R117" s="813"/>
      <c r="S117" s="813"/>
      <c r="T117" s="813"/>
      <c r="U117" s="813"/>
      <c r="V117" s="813"/>
      <c r="W117" s="813"/>
      <c r="X117" s="813"/>
      <c r="Y117" s="813"/>
      <c r="Z117" s="813"/>
      <c r="AA117" s="813"/>
      <c r="AB117" s="813"/>
      <c r="AC117" s="813"/>
      <c r="AD117" s="813"/>
      <c r="AE117" s="813"/>
      <c r="AF117" s="813"/>
      <c r="AG117" s="813"/>
      <c r="AH117" s="813"/>
      <c r="AI117" s="813"/>
      <c r="AJ117" s="813"/>
      <c r="AK117" s="813"/>
      <c r="AL117" s="813"/>
      <c r="AM117" s="813"/>
      <c r="AN117" s="813"/>
      <c r="AO117" s="813"/>
      <c r="AP117" s="813"/>
      <c r="AQ117" s="813"/>
      <c r="AR117" s="813"/>
      <c r="AS117" s="813"/>
      <c r="AT117" s="813"/>
      <c r="AU117" s="813"/>
      <c r="AV117" s="813"/>
      <c r="AW117" s="813"/>
      <c r="AX117" s="813"/>
      <c r="AY117" s="813"/>
      <c r="AZ117" s="813"/>
      <c r="BA117" s="813"/>
      <c r="BB117" s="813"/>
      <c r="BC117" s="813"/>
      <c r="BD117" s="813"/>
      <c r="BE117" s="813"/>
      <c r="BF117" s="813"/>
      <c r="BG117" s="813"/>
      <c r="BH117" s="871"/>
    </row>
    <row r="118" ht="15.95" customHeight="1" spans="1:60">
      <c r="A118" s="657" t="s">
        <v>1176</v>
      </c>
      <c r="B118" s="658"/>
      <c r="C118" s="658"/>
      <c r="D118" s="658"/>
      <c r="E118" s="658"/>
      <c r="F118" s="658"/>
      <c r="G118" s="658"/>
      <c r="H118" s="658"/>
      <c r="I118" s="838"/>
      <c r="J118" s="838"/>
      <c r="K118" s="838"/>
      <c r="L118" s="838"/>
      <c r="M118" s="838"/>
      <c r="N118" s="838"/>
      <c r="O118" s="838"/>
      <c r="P118" s="838"/>
      <c r="Q118" s="696" t="s">
        <v>900</v>
      </c>
      <c r="R118" s="696"/>
      <c r="S118" s="696"/>
      <c r="T118" s="696"/>
      <c r="U118" s="658" t="s">
        <v>1177</v>
      </c>
      <c r="V118" s="658"/>
      <c r="W118" s="658"/>
      <c r="X118" s="658"/>
      <c r="Y118" s="658"/>
      <c r="Z118" s="658"/>
      <c r="AA118" s="658"/>
      <c r="AB118" s="658"/>
      <c r="AC118" s="662"/>
      <c r="AD118" s="662"/>
      <c r="AE118" s="662"/>
      <c r="AF118" s="662"/>
      <c r="AG118" s="662"/>
      <c r="AH118" s="662"/>
      <c r="AI118" s="662"/>
      <c r="AJ118" s="662"/>
      <c r="AK118" s="696" t="s">
        <v>900</v>
      </c>
      <c r="AL118" s="696"/>
      <c r="AM118" s="696"/>
      <c r="AN118" s="696"/>
      <c r="AO118" s="816" t="s">
        <v>1178</v>
      </c>
      <c r="AP118" s="816"/>
      <c r="AQ118" s="816"/>
      <c r="AR118" s="816"/>
      <c r="AS118" s="816"/>
      <c r="AT118" s="816"/>
      <c r="AU118" s="816"/>
      <c r="AV118" s="816"/>
      <c r="AW118" s="662"/>
      <c r="AX118" s="662"/>
      <c r="AY118" s="662"/>
      <c r="AZ118" s="662"/>
      <c r="BA118" s="662"/>
      <c r="BB118" s="662"/>
      <c r="BC118" s="662"/>
      <c r="BD118" s="662"/>
      <c r="BE118" s="696" t="s">
        <v>900</v>
      </c>
      <c r="BF118" s="696"/>
      <c r="BG118" s="696"/>
      <c r="BH118" s="770"/>
    </row>
    <row r="119" ht="15.95" customHeight="1" spans="1:60">
      <c r="A119" s="817" t="s">
        <v>801</v>
      </c>
      <c r="B119" s="816"/>
      <c r="C119" s="816"/>
      <c r="D119" s="816"/>
      <c r="E119" s="816"/>
      <c r="F119" s="816"/>
      <c r="G119" s="816"/>
      <c r="H119" s="816"/>
      <c r="I119" s="760"/>
      <c r="J119" s="760"/>
      <c r="K119" s="760"/>
      <c r="L119" s="760"/>
      <c r="M119" s="760"/>
      <c r="N119" s="760"/>
      <c r="O119" s="760"/>
      <c r="P119" s="760"/>
      <c r="Q119" s="760"/>
      <c r="R119" s="760"/>
      <c r="S119" s="760"/>
      <c r="T119" s="760"/>
      <c r="U119" s="816" t="s">
        <v>1179</v>
      </c>
      <c r="V119" s="816"/>
      <c r="W119" s="816"/>
      <c r="X119" s="816"/>
      <c r="Y119" s="816"/>
      <c r="Z119" s="816"/>
      <c r="AA119" s="816"/>
      <c r="AB119" s="816"/>
      <c r="AC119" s="662"/>
      <c r="AD119" s="662"/>
      <c r="AE119" s="662"/>
      <c r="AF119" s="662"/>
      <c r="AG119" s="662"/>
      <c r="AH119" s="662"/>
      <c r="AI119" s="662"/>
      <c r="AJ119" s="662"/>
      <c r="AK119" s="696" t="s">
        <v>900</v>
      </c>
      <c r="AL119" s="696"/>
      <c r="AM119" s="696"/>
      <c r="AN119" s="696"/>
      <c r="AO119" s="816" t="s">
        <v>805</v>
      </c>
      <c r="AP119" s="816"/>
      <c r="AQ119" s="816"/>
      <c r="AR119" s="816"/>
      <c r="AS119" s="816"/>
      <c r="AT119" s="816"/>
      <c r="AU119" s="816"/>
      <c r="AV119" s="816"/>
      <c r="AW119" s="662"/>
      <c r="AX119" s="662"/>
      <c r="AY119" s="662"/>
      <c r="AZ119" s="662"/>
      <c r="BA119" s="662"/>
      <c r="BB119" s="662"/>
      <c r="BC119" s="662"/>
      <c r="BD119" s="662"/>
      <c r="BE119" s="696" t="s">
        <v>1150</v>
      </c>
      <c r="BF119" s="696"/>
      <c r="BG119" s="696"/>
      <c r="BH119" s="770"/>
    </row>
    <row r="120" ht="15.95" customHeight="1" spans="1:60">
      <c r="A120" s="817" t="s">
        <v>807</v>
      </c>
      <c r="B120" s="816"/>
      <c r="C120" s="816"/>
      <c r="D120" s="816"/>
      <c r="E120" s="816"/>
      <c r="F120" s="816"/>
      <c r="G120" s="816"/>
      <c r="H120" s="816"/>
      <c r="I120" s="662"/>
      <c r="J120" s="662"/>
      <c r="K120" s="662"/>
      <c r="L120" s="662"/>
      <c r="M120" s="662"/>
      <c r="N120" s="662"/>
      <c r="O120" s="662"/>
      <c r="P120" s="662"/>
      <c r="Q120" s="662"/>
      <c r="R120" s="662"/>
      <c r="S120" s="662"/>
      <c r="T120" s="662"/>
      <c r="U120" s="816" t="s">
        <v>513</v>
      </c>
      <c r="V120" s="816"/>
      <c r="W120" s="816"/>
      <c r="X120" s="816"/>
      <c r="Y120" s="816"/>
      <c r="Z120" s="816"/>
      <c r="AA120" s="816"/>
      <c r="AB120" s="816"/>
      <c r="AC120" s="662"/>
      <c r="AD120" s="662"/>
      <c r="AE120" s="662"/>
      <c r="AF120" s="662"/>
      <c r="AG120" s="662"/>
      <c r="AH120" s="662"/>
      <c r="AI120" s="662"/>
      <c r="AJ120" s="662"/>
      <c r="AK120" s="696" t="s">
        <v>900</v>
      </c>
      <c r="AL120" s="696"/>
      <c r="AM120" s="696"/>
      <c r="AN120" s="696"/>
      <c r="AO120" s="816" t="s">
        <v>810</v>
      </c>
      <c r="AP120" s="816"/>
      <c r="AQ120" s="816"/>
      <c r="AR120" s="816"/>
      <c r="AS120" s="816"/>
      <c r="AT120" s="816"/>
      <c r="AU120" s="816"/>
      <c r="AV120" s="816"/>
      <c r="AW120" s="662"/>
      <c r="AX120" s="662"/>
      <c r="AY120" s="662"/>
      <c r="AZ120" s="662"/>
      <c r="BA120" s="662"/>
      <c r="BB120" s="662"/>
      <c r="BC120" s="662"/>
      <c r="BD120" s="662"/>
      <c r="BE120" s="662"/>
      <c r="BF120" s="662"/>
      <c r="BG120" s="662"/>
      <c r="BH120" s="775"/>
    </row>
    <row r="121" ht="15.95" customHeight="1" spans="1:60">
      <c r="A121" s="818" t="str">
        <f>IF(目录!G2="中文",对照!Z113,IF(目录!G2="English",对照!AA113,对照!Z113))</f>
        <v>热流道时序控制说明</v>
      </c>
      <c r="B121" s="819"/>
      <c r="C121" s="819"/>
      <c r="D121" s="820"/>
      <c r="E121" s="821" t="str">
        <f>IF(目录!G2="中文",对照!Z114,IF(目录!G2="English",对照!AA114,对照!Z114))</f>
        <v>阀针</v>
      </c>
      <c r="F121" s="822"/>
      <c r="G121" s="822"/>
      <c r="H121" s="823"/>
      <c r="I121" s="839" t="str">
        <f>IF(目录!G2="中文",对照!Z115,IF(目录!G2="English",对照!AA115,对照!Z115))</f>
        <v>控制方式</v>
      </c>
      <c r="J121" s="839"/>
      <c r="K121" s="839"/>
      <c r="L121" s="839"/>
      <c r="M121" s="839"/>
      <c r="N121" s="839"/>
      <c r="O121" s="839"/>
      <c r="P121" s="839"/>
      <c r="Q121" s="839"/>
      <c r="R121" s="839"/>
      <c r="S121" s="839"/>
      <c r="T121" s="839"/>
      <c r="U121" s="850" t="str">
        <f>IF(目录!G2="中文",对照!Z116,IF(目录!G2="English",对照!AA116,对照!Z116))</f>
        <v>射胶模式</v>
      </c>
      <c r="V121" s="851"/>
      <c r="W121" s="851"/>
      <c r="X121" s="851"/>
      <c r="Y121" s="851"/>
      <c r="Z121" s="851"/>
      <c r="AA121" s="851"/>
      <c r="AB121" s="851"/>
      <c r="AC121" s="851"/>
      <c r="AD121" s="851"/>
      <c r="AE121" s="851"/>
      <c r="AF121" s="853"/>
      <c r="AG121" s="821"/>
      <c r="AH121" s="822"/>
      <c r="AI121" s="822"/>
      <c r="AJ121" s="823"/>
      <c r="AK121" s="839" t="str">
        <f>IF(目录!G2="中文",对照!Z115,IF(目录!G2="English",对照!AA115,对照!Z115))</f>
        <v>控制方式</v>
      </c>
      <c r="AL121" s="839"/>
      <c r="AM121" s="839"/>
      <c r="AN121" s="839"/>
      <c r="AO121" s="839"/>
      <c r="AP121" s="839"/>
      <c r="AQ121" s="839"/>
      <c r="AR121" s="839"/>
      <c r="AS121" s="839"/>
      <c r="AT121" s="839"/>
      <c r="AU121" s="839"/>
      <c r="AV121" s="839"/>
      <c r="AW121" s="839" t="str">
        <f>IF(目录!G2="中文",对照!Z115,IF(目录!G2="English",对照!AA115,对照!Z115))</f>
        <v>控制方式</v>
      </c>
      <c r="AX121" s="839"/>
      <c r="AY121" s="839"/>
      <c r="AZ121" s="839"/>
      <c r="BA121" s="839"/>
      <c r="BB121" s="839"/>
      <c r="BC121" s="839"/>
      <c r="BD121" s="839"/>
      <c r="BE121" s="839"/>
      <c r="BF121" s="839"/>
      <c r="BG121" s="839"/>
      <c r="BH121" s="839"/>
    </row>
    <row r="122" ht="15.95" customHeight="1" spans="1:60">
      <c r="A122" s="824"/>
      <c r="B122" s="825"/>
      <c r="C122" s="825"/>
      <c r="D122" s="826"/>
      <c r="E122" s="827"/>
      <c r="F122" s="828"/>
      <c r="G122" s="828"/>
      <c r="H122" s="829"/>
      <c r="I122" s="840" t="str">
        <f>IF(目录!G2="中文",对照!Z117,IF(目录!G2="English",对照!AA117,对照!Z117))</f>
        <v>螺杆位置</v>
      </c>
      <c r="J122" s="841"/>
      <c r="K122" s="841"/>
      <c r="L122" s="841"/>
      <c r="M122" s="841"/>
      <c r="N122" s="841"/>
      <c r="O122" s="840" t="str">
        <f>IF(目录!G2="中文",对照!Z118,IF(目录!G2="English",对照!AA118,对照!Z118))</f>
        <v>射胶时间</v>
      </c>
      <c r="P122" s="841"/>
      <c r="Q122" s="841"/>
      <c r="R122" s="841"/>
      <c r="S122" s="841"/>
      <c r="T122" s="841"/>
      <c r="U122" s="852" t="str">
        <f>IF(目录!G2="中文",对照!Z119,IF(目录!G2="English",对照!AA119,对照!Z119))</f>
        <v>延时射胶</v>
      </c>
      <c r="V122" s="839"/>
      <c r="W122" s="839"/>
      <c r="X122" s="839"/>
      <c r="Y122" s="839"/>
      <c r="Z122" s="839"/>
      <c r="AA122" s="852" t="str">
        <f>IF(目录!G2="中文",对照!Z120,IF(目录!G2="English",对照!AA120,对照!Z120))</f>
        <v>实际射胶</v>
      </c>
      <c r="AB122" s="839"/>
      <c r="AC122" s="839"/>
      <c r="AD122" s="839"/>
      <c r="AE122" s="839"/>
      <c r="AF122" s="839"/>
      <c r="AG122" s="827"/>
      <c r="AH122" s="828"/>
      <c r="AI122" s="828"/>
      <c r="AJ122" s="829"/>
      <c r="AK122" s="840" t="s">
        <v>1180</v>
      </c>
      <c r="AL122" s="841"/>
      <c r="AM122" s="841"/>
      <c r="AN122" s="841"/>
      <c r="AO122" s="841"/>
      <c r="AP122" s="841"/>
      <c r="AQ122" s="840" t="s">
        <v>1181</v>
      </c>
      <c r="AR122" s="841"/>
      <c r="AS122" s="841"/>
      <c r="AT122" s="841"/>
      <c r="AU122" s="841"/>
      <c r="AV122" s="841"/>
      <c r="AW122" s="852" t="s">
        <v>1182</v>
      </c>
      <c r="AX122" s="839"/>
      <c r="AY122" s="839"/>
      <c r="AZ122" s="839"/>
      <c r="BA122" s="839"/>
      <c r="BB122" s="839"/>
      <c r="BC122" s="852" t="s">
        <v>1183</v>
      </c>
      <c r="BD122" s="839"/>
      <c r="BE122" s="839"/>
      <c r="BF122" s="839"/>
      <c r="BG122" s="839"/>
      <c r="BH122" s="872"/>
    </row>
    <row r="123" ht="15.95" customHeight="1" spans="1:60">
      <c r="A123" s="824"/>
      <c r="B123" s="825"/>
      <c r="C123" s="825"/>
      <c r="D123" s="826"/>
      <c r="E123" s="830"/>
      <c r="F123" s="831"/>
      <c r="G123" s="831"/>
      <c r="H123" s="832"/>
      <c r="I123" s="842" t="s">
        <v>1184</v>
      </c>
      <c r="J123" s="843"/>
      <c r="K123" s="843"/>
      <c r="L123" s="843"/>
      <c r="M123" s="843"/>
      <c r="N123" s="844"/>
      <c r="O123" s="842" t="s">
        <v>1185</v>
      </c>
      <c r="P123" s="843"/>
      <c r="Q123" s="843"/>
      <c r="R123" s="843"/>
      <c r="S123" s="843"/>
      <c r="T123" s="844"/>
      <c r="U123" s="842" t="s">
        <v>1185</v>
      </c>
      <c r="V123" s="843"/>
      <c r="W123" s="843"/>
      <c r="X123" s="843"/>
      <c r="Y123" s="843"/>
      <c r="Z123" s="844"/>
      <c r="AA123" s="842" t="s">
        <v>1185</v>
      </c>
      <c r="AB123" s="843"/>
      <c r="AC123" s="843"/>
      <c r="AD123" s="843"/>
      <c r="AE123" s="843"/>
      <c r="AF123" s="844"/>
      <c r="AG123" s="830"/>
      <c r="AH123" s="831"/>
      <c r="AI123" s="831"/>
      <c r="AJ123" s="832"/>
      <c r="AK123" s="842" t="s">
        <v>1184</v>
      </c>
      <c r="AL123" s="843"/>
      <c r="AM123" s="843"/>
      <c r="AN123" s="843"/>
      <c r="AO123" s="843"/>
      <c r="AP123" s="844"/>
      <c r="AQ123" s="842" t="s">
        <v>1184</v>
      </c>
      <c r="AR123" s="843"/>
      <c r="AS123" s="843"/>
      <c r="AT123" s="843"/>
      <c r="AU123" s="843"/>
      <c r="AV123" s="844"/>
      <c r="AW123" s="842" t="s">
        <v>1185</v>
      </c>
      <c r="AX123" s="843"/>
      <c r="AY123" s="843"/>
      <c r="AZ123" s="843"/>
      <c r="BA123" s="843"/>
      <c r="BB123" s="844"/>
      <c r="BC123" s="842" t="s">
        <v>1185</v>
      </c>
      <c r="BD123" s="843"/>
      <c r="BE123" s="843"/>
      <c r="BF123" s="843"/>
      <c r="BG123" s="843"/>
      <c r="BH123" s="873"/>
    </row>
    <row r="124" ht="15.95" customHeight="1" spans="1:60">
      <c r="A124" s="824"/>
      <c r="B124" s="825"/>
      <c r="C124" s="825"/>
      <c r="D124" s="826"/>
      <c r="E124" s="833" t="s">
        <v>830</v>
      </c>
      <c r="F124" s="833"/>
      <c r="G124" s="833"/>
      <c r="H124" s="833"/>
      <c r="I124" s="834" t="s">
        <v>1186</v>
      </c>
      <c r="J124" s="834"/>
      <c r="K124" s="834"/>
      <c r="L124" s="834"/>
      <c r="M124" s="834"/>
      <c r="N124" s="834"/>
      <c r="O124" s="845" t="s">
        <v>1187</v>
      </c>
      <c r="P124" s="845"/>
      <c r="Q124" s="845"/>
      <c r="R124" s="845"/>
      <c r="S124" s="845"/>
      <c r="T124" s="845"/>
      <c r="U124" s="834" t="s">
        <v>1188</v>
      </c>
      <c r="V124" s="834"/>
      <c r="W124" s="834"/>
      <c r="X124" s="834"/>
      <c r="Y124" s="834"/>
      <c r="Z124" s="834"/>
      <c r="AA124" s="834" t="s">
        <v>1189</v>
      </c>
      <c r="AB124" s="834"/>
      <c r="AC124" s="834"/>
      <c r="AD124" s="834"/>
      <c r="AE124" s="834"/>
      <c r="AF124" s="834"/>
      <c r="AG124" s="834"/>
      <c r="AH124" s="834"/>
      <c r="AI124" s="834"/>
      <c r="AJ124" s="834"/>
      <c r="AK124" s="834" t="s">
        <v>1190</v>
      </c>
      <c r="AL124" s="834"/>
      <c r="AM124" s="834"/>
      <c r="AN124" s="834"/>
      <c r="AO124" s="834"/>
      <c r="AP124" s="834"/>
      <c r="AQ124" s="845" t="s">
        <v>1191</v>
      </c>
      <c r="AR124" s="845"/>
      <c r="AS124" s="845"/>
      <c r="AT124" s="845"/>
      <c r="AU124" s="845"/>
      <c r="AV124" s="845"/>
      <c r="AW124" s="834" t="s">
        <v>1192</v>
      </c>
      <c r="AX124" s="834"/>
      <c r="AY124" s="834"/>
      <c r="AZ124" s="834"/>
      <c r="BA124" s="834"/>
      <c r="BB124" s="834"/>
      <c r="BC124" s="834" t="s">
        <v>1193</v>
      </c>
      <c r="BD124" s="834"/>
      <c r="BE124" s="834"/>
      <c r="BF124" s="834"/>
      <c r="BG124" s="834"/>
      <c r="BH124" s="834"/>
    </row>
    <row r="125" ht="15.95" customHeight="1" spans="1:60">
      <c r="A125" s="824"/>
      <c r="B125" s="825"/>
      <c r="C125" s="825"/>
      <c r="D125" s="826"/>
      <c r="E125" s="834" t="s">
        <v>832</v>
      </c>
      <c r="F125" s="834"/>
      <c r="G125" s="834"/>
      <c r="H125" s="834"/>
      <c r="I125" s="845" t="s">
        <v>1194</v>
      </c>
      <c r="J125" s="845"/>
      <c r="K125" s="845"/>
      <c r="L125" s="845"/>
      <c r="M125" s="845"/>
      <c r="N125" s="845"/>
      <c r="O125" s="834" t="s">
        <v>1195</v>
      </c>
      <c r="P125" s="834"/>
      <c r="Q125" s="834"/>
      <c r="R125" s="834"/>
      <c r="S125" s="834"/>
      <c r="T125" s="834"/>
      <c r="U125" s="834" t="s">
        <v>1196</v>
      </c>
      <c r="V125" s="834"/>
      <c r="W125" s="834"/>
      <c r="X125" s="834"/>
      <c r="Y125" s="834"/>
      <c r="Z125" s="834"/>
      <c r="AA125" s="834" t="s">
        <v>1197</v>
      </c>
      <c r="AB125" s="834"/>
      <c r="AC125" s="834"/>
      <c r="AD125" s="834"/>
      <c r="AE125" s="834"/>
      <c r="AF125" s="834"/>
      <c r="AG125" s="834"/>
      <c r="AH125" s="834"/>
      <c r="AI125" s="834"/>
      <c r="AJ125" s="834"/>
      <c r="AK125" s="845" t="s">
        <v>1198</v>
      </c>
      <c r="AL125" s="845"/>
      <c r="AM125" s="845"/>
      <c r="AN125" s="845"/>
      <c r="AO125" s="845"/>
      <c r="AP125" s="845"/>
      <c r="AQ125" s="834" t="s">
        <v>1199</v>
      </c>
      <c r="AR125" s="834"/>
      <c r="AS125" s="834"/>
      <c r="AT125" s="834"/>
      <c r="AU125" s="834"/>
      <c r="AV125" s="834"/>
      <c r="AW125" s="834" t="s">
        <v>1200</v>
      </c>
      <c r="AX125" s="834"/>
      <c r="AY125" s="834"/>
      <c r="AZ125" s="834"/>
      <c r="BA125" s="834"/>
      <c r="BB125" s="834"/>
      <c r="BC125" s="834" t="s">
        <v>1201</v>
      </c>
      <c r="BD125" s="834"/>
      <c r="BE125" s="834"/>
      <c r="BF125" s="834"/>
      <c r="BG125" s="834"/>
      <c r="BH125" s="874"/>
    </row>
    <row r="126" ht="15.95" customHeight="1" spans="1:60">
      <c r="A126" s="824"/>
      <c r="B126" s="825"/>
      <c r="C126" s="825"/>
      <c r="D126" s="826"/>
      <c r="E126" s="833" t="s">
        <v>834</v>
      </c>
      <c r="F126" s="833"/>
      <c r="G126" s="833"/>
      <c r="H126" s="833"/>
      <c r="I126" s="834" t="s">
        <v>1202</v>
      </c>
      <c r="J126" s="834"/>
      <c r="K126" s="834"/>
      <c r="L126" s="834"/>
      <c r="M126" s="834"/>
      <c r="N126" s="834"/>
      <c r="O126" s="845" t="s">
        <v>1203</v>
      </c>
      <c r="P126" s="845"/>
      <c r="Q126" s="845"/>
      <c r="R126" s="845"/>
      <c r="S126" s="845"/>
      <c r="T126" s="845"/>
      <c r="U126" s="845" t="s">
        <v>1204</v>
      </c>
      <c r="V126" s="845"/>
      <c r="W126" s="845"/>
      <c r="X126" s="845"/>
      <c r="Y126" s="845"/>
      <c r="Z126" s="845"/>
      <c r="AA126" s="834" t="s">
        <v>1205</v>
      </c>
      <c r="AB126" s="834"/>
      <c r="AC126" s="834"/>
      <c r="AD126" s="834"/>
      <c r="AE126" s="834"/>
      <c r="AF126" s="834"/>
      <c r="AG126" s="834"/>
      <c r="AH126" s="834"/>
      <c r="AI126" s="834"/>
      <c r="AJ126" s="834"/>
      <c r="AK126" s="834" t="s">
        <v>1206</v>
      </c>
      <c r="AL126" s="834"/>
      <c r="AM126" s="834"/>
      <c r="AN126" s="834"/>
      <c r="AO126" s="834"/>
      <c r="AP126" s="834"/>
      <c r="AQ126" s="845" t="s">
        <v>1207</v>
      </c>
      <c r="AR126" s="845"/>
      <c r="AS126" s="845"/>
      <c r="AT126" s="845"/>
      <c r="AU126" s="845"/>
      <c r="AV126" s="845"/>
      <c r="AW126" s="845" t="s">
        <v>1208</v>
      </c>
      <c r="AX126" s="845"/>
      <c r="AY126" s="845"/>
      <c r="AZ126" s="845"/>
      <c r="BA126" s="845"/>
      <c r="BB126" s="845"/>
      <c r="BC126" s="834" t="s">
        <v>1209</v>
      </c>
      <c r="BD126" s="834"/>
      <c r="BE126" s="834"/>
      <c r="BF126" s="834"/>
      <c r="BG126" s="834"/>
      <c r="BH126" s="834"/>
    </row>
    <row r="127" ht="15.95" customHeight="1" spans="1:60">
      <c r="A127" s="824"/>
      <c r="B127" s="825"/>
      <c r="C127" s="825"/>
      <c r="D127" s="826"/>
      <c r="E127" s="834" t="s">
        <v>836</v>
      </c>
      <c r="F127" s="834"/>
      <c r="G127" s="834"/>
      <c r="H127" s="834"/>
      <c r="I127" s="845" t="s">
        <v>1210</v>
      </c>
      <c r="J127" s="845"/>
      <c r="K127" s="845"/>
      <c r="L127" s="845"/>
      <c r="M127" s="845"/>
      <c r="N127" s="845"/>
      <c r="O127" s="845" t="s">
        <v>1211</v>
      </c>
      <c r="P127" s="845"/>
      <c r="Q127" s="845"/>
      <c r="R127" s="845"/>
      <c r="S127" s="845"/>
      <c r="T127" s="845"/>
      <c r="U127" s="834" t="s">
        <v>1212</v>
      </c>
      <c r="V127" s="834"/>
      <c r="W127" s="834"/>
      <c r="X127" s="834"/>
      <c r="Y127" s="834"/>
      <c r="Z127" s="834"/>
      <c r="AA127" s="834" t="s">
        <v>1213</v>
      </c>
      <c r="AB127" s="834"/>
      <c r="AC127" s="834"/>
      <c r="AD127" s="834"/>
      <c r="AE127" s="834"/>
      <c r="AF127" s="834"/>
      <c r="AG127" s="834"/>
      <c r="AH127" s="834"/>
      <c r="AI127" s="834"/>
      <c r="AJ127" s="834"/>
      <c r="AK127" s="845" t="s">
        <v>1214</v>
      </c>
      <c r="AL127" s="845"/>
      <c r="AM127" s="845"/>
      <c r="AN127" s="845"/>
      <c r="AO127" s="845"/>
      <c r="AP127" s="845"/>
      <c r="AQ127" s="845" t="s">
        <v>1215</v>
      </c>
      <c r="AR127" s="845"/>
      <c r="AS127" s="845"/>
      <c r="AT127" s="845"/>
      <c r="AU127" s="845"/>
      <c r="AV127" s="845"/>
      <c r="AW127" s="834" t="s">
        <v>1216</v>
      </c>
      <c r="AX127" s="834"/>
      <c r="AY127" s="834"/>
      <c r="AZ127" s="834"/>
      <c r="BA127" s="834"/>
      <c r="BB127" s="834"/>
      <c r="BC127" s="834" t="s">
        <v>1217</v>
      </c>
      <c r="BD127" s="834"/>
      <c r="BE127" s="834"/>
      <c r="BF127" s="834"/>
      <c r="BG127" s="834"/>
      <c r="BH127" s="874"/>
    </row>
    <row r="128" ht="15.95" customHeight="1" spans="1:60">
      <c r="A128" s="824"/>
      <c r="B128" s="825"/>
      <c r="C128" s="825"/>
      <c r="D128" s="826"/>
      <c r="E128" s="833" t="s">
        <v>838</v>
      </c>
      <c r="F128" s="833"/>
      <c r="G128" s="833"/>
      <c r="H128" s="833"/>
      <c r="I128" s="834" t="s">
        <v>1218</v>
      </c>
      <c r="J128" s="834"/>
      <c r="K128" s="834"/>
      <c r="L128" s="834"/>
      <c r="M128" s="834"/>
      <c r="N128" s="834"/>
      <c r="O128" s="845" t="s">
        <v>1219</v>
      </c>
      <c r="P128" s="845"/>
      <c r="Q128" s="845"/>
      <c r="R128" s="845"/>
      <c r="S128" s="845"/>
      <c r="T128" s="845"/>
      <c r="U128" s="834" t="s">
        <v>1220</v>
      </c>
      <c r="V128" s="834"/>
      <c r="W128" s="834"/>
      <c r="X128" s="834"/>
      <c r="Y128" s="834"/>
      <c r="Z128" s="834"/>
      <c r="AA128" s="834" t="s">
        <v>1221</v>
      </c>
      <c r="AB128" s="834"/>
      <c r="AC128" s="834"/>
      <c r="AD128" s="834"/>
      <c r="AE128" s="834"/>
      <c r="AF128" s="834"/>
      <c r="AG128" s="834"/>
      <c r="AH128" s="834"/>
      <c r="AI128" s="834"/>
      <c r="AJ128" s="834"/>
      <c r="AK128" s="834" t="s">
        <v>1222</v>
      </c>
      <c r="AL128" s="834"/>
      <c r="AM128" s="834"/>
      <c r="AN128" s="834"/>
      <c r="AO128" s="834"/>
      <c r="AP128" s="834"/>
      <c r="AQ128" s="845" t="s">
        <v>1223</v>
      </c>
      <c r="AR128" s="845"/>
      <c r="AS128" s="845"/>
      <c r="AT128" s="845"/>
      <c r="AU128" s="845"/>
      <c r="AV128" s="845"/>
      <c r="AW128" s="834" t="s">
        <v>1224</v>
      </c>
      <c r="AX128" s="834"/>
      <c r="AY128" s="834"/>
      <c r="AZ128" s="834"/>
      <c r="BA128" s="834"/>
      <c r="BB128" s="834"/>
      <c r="BC128" s="834" t="s">
        <v>1225</v>
      </c>
      <c r="BD128" s="834"/>
      <c r="BE128" s="834"/>
      <c r="BF128" s="834"/>
      <c r="BG128" s="834"/>
      <c r="BH128" s="834"/>
    </row>
    <row r="129" ht="15.95" customHeight="1" spans="1:60">
      <c r="A129" s="824"/>
      <c r="B129" s="825"/>
      <c r="C129" s="825"/>
      <c r="D129" s="826"/>
      <c r="E129" s="834" t="s">
        <v>840</v>
      </c>
      <c r="F129" s="834"/>
      <c r="G129" s="834"/>
      <c r="H129" s="834"/>
      <c r="I129" s="845" t="s">
        <v>1226</v>
      </c>
      <c r="J129" s="845"/>
      <c r="K129" s="845"/>
      <c r="L129" s="845"/>
      <c r="M129" s="845"/>
      <c r="N129" s="845"/>
      <c r="O129" s="834" t="s">
        <v>1227</v>
      </c>
      <c r="P129" s="834"/>
      <c r="Q129" s="834"/>
      <c r="R129" s="834"/>
      <c r="S129" s="834"/>
      <c r="T129" s="834"/>
      <c r="U129" s="834" t="s">
        <v>1228</v>
      </c>
      <c r="V129" s="834"/>
      <c r="W129" s="834"/>
      <c r="X129" s="834"/>
      <c r="Y129" s="834"/>
      <c r="Z129" s="834"/>
      <c r="AA129" s="834" t="s">
        <v>1229</v>
      </c>
      <c r="AB129" s="834"/>
      <c r="AC129" s="834"/>
      <c r="AD129" s="834"/>
      <c r="AE129" s="834"/>
      <c r="AF129" s="834"/>
      <c r="AG129" s="834"/>
      <c r="AH129" s="834"/>
      <c r="AI129" s="834"/>
      <c r="AJ129" s="834"/>
      <c r="AK129" s="845" t="s">
        <v>1230</v>
      </c>
      <c r="AL129" s="845"/>
      <c r="AM129" s="845"/>
      <c r="AN129" s="845"/>
      <c r="AO129" s="845"/>
      <c r="AP129" s="845"/>
      <c r="AQ129" s="834" t="s">
        <v>1231</v>
      </c>
      <c r="AR129" s="834"/>
      <c r="AS129" s="834"/>
      <c r="AT129" s="834"/>
      <c r="AU129" s="834"/>
      <c r="AV129" s="834"/>
      <c r="AW129" s="834" t="s">
        <v>1232</v>
      </c>
      <c r="AX129" s="834"/>
      <c r="AY129" s="834"/>
      <c r="AZ129" s="834"/>
      <c r="BA129" s="834"/>
      <c r="BB129" s="834"/>
      <c r="BC129" s="834" t="s">
        <v>1233</v>
      </c>
      <c r="BD129" s="834"/>
      <c r="BE129" s="834"/>
      <c r="BF129" s="834"/>
      <c r="BG129" s="834"/>
      <c r="BH129" s="874"/>
    </row>
    <row r="130" ht="15.95" customHeight="1" spans="1:60">
      <c r="A130" s="824"/>
      <c r="B130" s="825"/>
      <c r="C130" s="825"/>
      <c r="D130" s="826"/>
      <c r="E130" s="833" t="s">
        <v>842</v>
      </c>
      <c r="F130" s="833"/>
      <c r="G130" s="833"/>
      <c r="H130" s="833"/>
      <c r="I130" s="834" t="s">
        <v>1234</v>
      </c>
      <c r="J130" s="834"/>
      <c r="K130" s="834"/>
      <c r="L130" s="834"/>
      <c r="M130" s="834"/>
      <c r="N130" s="834"/>
      <c r="O130" s="845" t="s">
        <v>1235</v>
      </c>
      <c r="P130" s="845"/>
      <c r="Q130" s="845"/>
      <c r="R130" s="845"/>
      <c r="S130" s="845"/>
      <c r="T130" s="845"/>
      <c r="U130" s="845" t="s">
        <v>1236</v>
      </c>
      <c r="V130" s="845"/>
      <c r="W130" s="845"/>
      <c r="X130" s="845"/>
      <c r="Y130" s="845"/>
      <c r="Z130" s="845"/>
      <c r="AA130" s="834" t="s">
        <v>1237</v>
      </c>
      <c r="AB130" s="834"/>
      <c r="AC130" s="834"/>
      <c r="AD130" s="834"/>
      <c r="AE130" s="834"/>
      <c r="AF130" s="834"/>
      <c r="AG130" s="834"/>
      <c r="AH130" s="834"/>
      <c r="AI130" s="834"/>
      <c r="AJ130" s="834"/>
      <c r="AK130" s="834" t="s">
        <v>1238</v>
      </c>
      <c r="AL130" s="834"/>
      <c r="AM130" s="834"/>
      <c r="AN130" s="834"/>
      <c r="AO130" s="834"/>
      <c r="AP130" s="834"/>
      <c r="AQ130" s="845" t="s">
        <v>1239</v>
      </c>
      <c r="AR130" s="845"/>
      <c r="AS130" s="845"/>
      <c r="AT130" s="845"/>
      <c r="AU130" s="845"/>
      <c r="AV130" s="845"/>
      <c r="AW130" s="845" t="s">
        <v>1240</v>
      </c>
      <c r="AX130" s="845"/>
      <c r="AY130" s="845"/>
      <c r="AZ130" s="845"/>
      <c r="BA130" s="845"/>
      <c r="BB130" s="845"/>
      <c r="BC130" s="834" t="s">
        <v>1241</v>
      </c>
      <c r="BD130" s="834"/>
      <c r="BE130" s="834"/>
      <c r="BF130" s="834"/>
      <c r="BG130" s="834"/>
      <c r="BH130" s="834"/>
    </row>
    <row r="131" ht="15.95" customHeight="1" spans="1:60">
      <c r="A131" s="824"/>
      <c r="B131" s="825"/>
      <c r="C131" s="825"/>
      <c r="D131" s="826"/>
      <c r="E131" s="834" t="s">
        <v>844</v>
      </c>
      <c r="F131" s="834"/>
      <c r="G131" s="834"/>
      <c r="H131" s="834"/>
      <c r="I131" s="845" t="s">
        <v>1242</v>
      </c>
      <c r="J131" s="845"/>
      <c r="K131" s="845"/>
      <c r="L131" s="845"/>
      <c r="M131" s="845"/>
      <c r="N131" s="845"/>
      <c r="O131" s="845" t="s">
        <v>1243</v>
      </c>
      <c r="P131" s="845"/>
      <c r="Q131" s="845"/>
      <c r="R131" s="845"/>
      <c r="S131" s="845"/>
      <c r="T131" s="845"/>
      <c r="U131" s="834" t="s">
        <v>1244</v>
      </c>
      <c r="V131" s="834"/>
      <c r="W131" s="834"/>
      <c r="X131" s="834"/>
      <c r="Y131" s="834"/>
      <c r="Z131" s="834"/>
      <c r="AA131" s="834" t="s">
        <v>1245</v>
      </c>
      <c r="AB131" s="834"/>
      <c r="AC131" s="834"/>
      <c r="AD131" s="834"/>
      <c r="AE131" s="834"/>
      <c r="AF131" s="834"/>
      <c r="AG131" s="834"/>
      <c r="AH131" s="834"/>
      <c r="AI131" s="834"/>
      <c r="AJ131" s="834"/>
      <c r="AK131" s="845" t="s">
        <v>1246</v>
      </c>
      <c r="AL131" s="845"/>
      <c r="AM131" s="845"/>
      <c r="AN131" s="845"/>
      <c r="AO131" s="845"/>
      <c r="AP131" s="845"/>
      <c r="AQ131" s="845" t="s">
        <v>1247</v>
      </c>
      <c r="AR131" s="845"/>
      <c r="AS131" s="845"/>
      <c r="AT131" s="845"/>
      <c r="AU131" s="845"/>
      <c r="AV131" s="845"/>
      <c r="AW131" s="834" t="s">
        <v>1248</v>
      </c>
      <c r="AX131" s="834"/>
      <c r="AY131" s="834"/>
      <c r="AZ131" s="834"/>
      <c r="BA131" s="834"/>
      <c r="BB131" s="834"/>
      <c r="BC131" s="834" t="s">
        <v>1249</v>
      </c>
      <c r="BD131" s="834"/>
      <c r="BE131" s="834"/>
      <c r="BF131" s="834"/>
      <c r="BG131" s="834"/>
      <c r="BH131" s="874"/>
    </row>
    <row r="132" ht="15.95" customHeight="1" spans="1:60">
      <c r="A132" s="824"/>
      <c r="B132" s="825"/>
      <c r="C132" s="825"/>
      <c r="D132" s="826"/>
      <c r="E132" s="833" t="s">
        <v>846</v>
      </c>
      <c r="F132" s="833"/>
      <c r="G132" s="833"/>
      <c r="H132" s="833"/>
      <c r="I132" s="834" t="s">
        <v>1250</v>
      </c>
      <c r="J132" s="834"/>
      <c r="K132" s="834"/>
      <c r="L132" s="834"/>
      <c r="M132" s="834"/>
      <c r="N132" s="834"/>
      <c r="O132" s="845" t="s">
        <v>1251</v>
      </c>
      <c r="P132" s="845"/>
      <c r="Q132" s="845"/>
      <c r="R132" s="845"/>
      <c r="S132" s="845"/>
      <c r="T132" s="845"/>
      <c r="U132" s="834" t="s">
        <v>1252</v>
      </c>
      <c r="V132" s="834"/>
      <c r="W132" s="834"/>
      <c r="X132" s="834"/>
      <c r="Y132" s="834"/>
      <c r="Z132" s="834"/>
      <c r="AA132" s="834" t="s">
        <v>1253</v>
      </c>
      <c r="AB132" s="834"/>
      <c r="AC132" s="834"/>
      <c r="AD132" s="834"/>
      <c r="AE132" s="834"/>
      <c r="AF132" s="834"/>
      <c r="AG132" s="834"/>
      <c r="AH132" s="834"/>
      <c r="AI132" s="834"/>
      <c r="AJ132" s="834"/>
      <c r="AK132" s="834" t="s">
        <v>1254</v>
      </c>
      <c r="AL132" s="834"/>
      <c r="AM132" s="834"/>
      <c r="AN132" s="834"/>
      <c r="AO132" s="834"/>
      <c r="AP132" s="834"/>
      <c r="AQ132" s="845" t="s">
        <v>1255</v>
      </c>
      <c r="AR132" s="845"/>
      <c r="AS132" s="845"/>
      <c r="AT132" s="845"/>
      <c r="AU132" s="845"/>
      <c r="AV132" s="845"/>
      <c r="AW132" s="834" t="s">
        <v>1256</v>
      </c>
      <c r="AX132" s="834"/>
      <c r="AY132" s="834"/>
      <c r="AZ132" s="834"/>
      <c r="BA132" s="834"/>
      <c r="BB132" s="834"/>
      <c r="BC132" s="834" t="s">
        <v>1257</v>
      </c>
      <c r="BD132" s="834"/>
      <c r="BE132" s="834"/>
      <c r="BF132" s="834"/>
      <c r="BG132" s="834"/>
      <c r="BH132" s="834"/>
    </row>
    <row r="133" ht="15.95" customHeight="1" spans="1:60">
      <c r="A133" s="824"/>
      <c r="B133" s="825"/>
      <c r="C133" s="825"/>
      <c r="D133" s="826"/>
      <c r="E133" s="834" t="s">
        <v>848</v>
      </c>
      <c r="F133" s="834"/>
      <c r="G133" s="834"/>
      <c r="H133" s="834"/>
      <c r="I133" s="845" t="s">
        <v>1258</v>
      </c>
      <c r="J133" s="845"/>
      <c r="K133" s="845"/>
      <c r="L133" s="845"/>
      <c r="M133" s="845"/>
      <c r="N133" s="845"/>
      <c r="O133" s="834" t="s">
        <v>1259</v>
      </c>
      <c r="P133" s="834"/>
      <c r="Q133" s="834"/>
      <c r="R133" s="834"/>
      <c r="S133" s="834"/>
      <c r="T133" s="834"/>
      <c r="U133" s="834" t="s">
        <v>1260</v>
      </c>
      <c r="V133" s="834"/>
      <c r="W133" s="834"/>
      <c r="X133" s="834"/>
      <c r="Y133" s="834"/>
      <c r="Z133" s="834"/>
      <c r="AA133" s="834" t="s">
        <v>1261</v>
      </c>
      <c r="AB133" s="834"/>
      <c r="AC133" s="834"/>
      <c r="AD133" s="834"/>
      <c r="AE133" s="834"/>
      <c r="AF133" s="834"/>
      <c r="AG133" s="834"/>
      <c r="AH133" s="834"/>
      <c r="AI133" s="834"/>
      <c r="AJ133" s="834"/>
      <c r="AK133" s="845" t="s">
        <v>1262</v>
      </c>
      <c r="AL133" s="845"/>
      <c r="AM133" s="845"/>
      <c r="AN133" s="845"/>
      <c r="AO133" s="845"/>
      <c r="AP133" s="845"/>
      <c r="AQ133" s="834" t="s">
        <v>1263</v>
      </c>
      <c r="AR133" s="834"/>
      <c r="AS133" s="834"/>
      <c r="AT133" s="834"/>
      <c r="AU133" s="834"/>
      <c r="AV133" s="834"/>
      <c r="AW133" s="834" t="s">
        <v>1264</v>
      </c>
      <c r="AX133" s="834"/>
      <c r="AY133" s="834"/>
      <c r="AZ133" s="834"/>
      <c r="BA133" s="834"/>
      <c r="BB133" s="834"/>
      <c r="BC133" s="834" t="s">
        <v>1265</v>
      </c>
      <c r="BD133" s="834"/>
      <c r="BE133" s="834"/>
      <c r="BF133" s="834"/>
      <c r="BG133" s="834"/>
      <c r="BH133" s="874"/>
    </row>
    <row r="134" ht="15.95" customHeight="1" spans="1:60">
      <c r="A134" s="824"/>
      <c r="B134" s="825"/>
      <c r="C134" s="825"/>
      <c r="D134" s="826"/>
      <c r="E134" s="833" t="s">
        <v>850</v>
      </c>
      <c r="F134" s="833"/>
      <c r="G134" s="833"/>
      <c r="H134" s="833"/>
      <c r="I134" s="834" t="s">
        <v>1266</v>
      </c>
      <c r="J134" s="834"/>
      <c r="K134" s="834"/>
      <c r="L134" s="834"/>
      <c r="M134" s="834"/>
      <c r="N134" s="834"/>
      <c r="O134" s="845" t="s">
        <v>1267</v>
      </c>
      <c r="P134" s="845"/>
      <c r="Q134" s="845"/>
      <c r="R134" s="845"/>
      <c r="S134" s="845"/>
      <c r="T134" s="845"/>
      <c r="U134" s="845" t="s">
        <v>1268</v>
      </c>
      <c r="V134" s="845"/>
      <c r="W134" s="845"/>
      <c r="X134" s="845"/>
      <c r="Y134" s="845"/>
      <c r="Z134" s="845"/>
      <c r="AA134" s="834" t="s">
        <v>1269</v>
      </c>
      <c r="AB134" s="834"/>
      <c r="AC134" s="834"/>
      <c r="AD134" s="834"/>
      <c r="AE134" s="834"/>
      <c r="AF134" s="834"/>
      <c r="AG134" s="834"/>
      <c r="AH134" s="834"/>
      <c r="AI134" s="834"/>
      <c r="AJ134" s="834"/>
      <c r="AK134" s="834" t="s">
        <v>1270</v>
      </c>
      <c r="AL134" s="834"/>
      <c r="AM134" s="834"/>
      <c r="AN134" s="834"/>
      <c r="AO134" s="834"/>
      <c r="AP134" s="834"/>
      <c r="AQ134" s="845" t="s">
        <v>1271</v>
      </c>
      <c r="AR134" s="845"/>
      <c r="AS134" s="845"/>
      <c r="AT134" s="845"/>
      <c r="AU134" s="845"/>
      <c r="AV134" s="845"/>
      <c r="AW134" s="845" t="s">
        <v>1272</v>
      </c>
      <c r="AX134" s="845"/>
      <c r="AY134" s="845"/>
      <c r="AZ134" s="845"/>
      <c r="BA134" s="845"/>
      <c r="BB134" s="845"/>
      <c r="BC134" s="834" t="s">
        <v>1273</v>
      </c>
      <c r="BD134" s="834"/>
      <c r="BE134" s="834"/>
      <c r="BF134" s="834"/>
      <c r="BG134" s="834"/>
      <c r="BH134" s="834"/>
    </row>
    <row r="135" ht="15.95" customHeight="1" spans="1:60">
      <c r="A135" s="824"/>
      <c r="B135" s="825"/>
      <c r="C135" s="825"/>
      <c r="D135" s="826"/>
      <c r="E135" s="834" t="s">
        <v>852</v>
      </c>
      <c r="F135" s="834"/>
      <c r="G135" s="834"/>
      <c r="H135" s="834"/>
      <c r="I135" s="845" t="s">
        <v>1274</v>
      </c>
      <c r="J135" s="845"/>
      <c r="K135" s="845"/>
      <c r="L135" s="845"/>
      <c r="M135" s="845"/>
      <c r="N135" s="845"/>
      <c r="O135" s="845" t="s">
        <v>1275</v>
      </c>
      <c r="P135" s="845"/>
      <c r="Q135" s="845"/>
      <c r="R135" s="845"/>
      <c r="S135" s="845"/>
      <c r="T135" s="845"/>
      <c r="U135" s="834" t="s">
        <v>1276</v>
      </c>
      <c r="V135" s="834"/>
      <c r="W135" s="834"/>
      <c r="X135" s="834"/>
      <c r="Y135" s="834"/>
      <c r="Z135" s="834"/>
      <c r="AA135" s="834" t="s">
        <v>1277</v>
      </c>
      <c r="AB135" s="834"/>
      <c r="AC135" s="834"/>
      <c r="AD135" s="834"/>
      <c r="AE135" s="834"/>
      <c r="AF135" s="834"/>
      <c r="AG135" s="834"/>
      <c r="AH135" s="834"/>
      <c r="AI135" s="834"/>
      <c r="AJ135" s="834"/>
      <c r="AK135" s="845" t="s">
        <v>1278</v>
      </c>
      <c r="AL135" s="845"/>
      <c r="AM135" s="845"/>
      <c r="AN135" s="845"/>
      <c r="AO135" s="845"/>
      <c r="AP135" s="845"/>
      <c r="AQ135" s="845" t="s">
        <v>1279</v>
      </c>
      <c r="AR135" s="845"/>
      <c r="AS135" s="845"/>
      <c r="AT135" s="845"/>
      <c r="AU135" s="845"/>
      <c r="AV135" s="845"/>
      <c r="AW135" s="834" t="s">
        <v>1280</v>
      </c>
      <c r="AX135" s="834"/>
      <c r="AY135" s="834"/>
      <c r="AZ135" s="834"/>
      <c r="BA135" s="834"/>
      <c r="BB135" s="834"/>
      <c r="BC135" s="834" t="s">
        <v>1281</v>
      </c>
      <c r="BD135" s="834"/>
      <c r="BE135" s="834"/>
      <c r="BF135" s="834"/>
      <c r="BG135" s="834"/>
      <c r="BH135" s="874"/>
    </row>
    <row r="136" ht="21.75" customHeight="1" spans="1:60">
      <c r="A136" s="824"/>
      <c r="B136" s="825"/>
      <c r="C136" s="825"/>
      <c r="D136" s="826"/>
      <c r="E136" s="833" t="s">
        <v>854</v>
      </c>
      <c r="F136" s="833"/>
      <c r="G136" s="833"/>
      <c r="H136" s="833"/>
      <c r="I136" s="834" t="s">
        <v>1282</v>
      </c>
      <c r="J136" s="834"/>
      <c r="K136" s="834"/>
      <c r="L136" s="834"/>
      <c r="M136" s="834"/>
      <c r="N136" s="834"/>
      <c r="O136" s="845" t="s">
        <v>1283</v>
      </c>
      <c r="P136" s="845"/>
      <c r="Q136" s="845"/>
      <c r="R136" s="845"/>
      <c r="S136" s="845"/>
      <c r="T136" s="845"/>
      <c r="U136" s="834" t="s">
        <v>1284</v>
      </c>
      <c r="V136" s="834"/>
      <c r="W136" s="834"/>
      <c r="X136" s="834"/>
      <c r="Y136" s="834"/>
      <c r="Z136" s="834"/>
      <c r="AA136" s="834" t="s">
        <v>1285</v>
      </c>
      <c r="AB136" s="834"/>
      <c r="AC136" s="834"/>
      <c r="AD136" s="834"/>
      <c r="AE136" s="834"/>
      <c r="AF136" s="834"/>
      <c r="AG136" s="834"/>
      <c r="AH136" s="834"/>
      <c r="AI136" s="834"/>
      <c r="AJ136" s="834"/>
      <c r="AK136" s="834" t="s">
        <v>1286</v>
      </c>
      <c r="AL136" s="834"/>
      <c r="AM136" s="834"/>
      <c r="AN136" s="834"/>
      <c r="AO136" s="834"/>
      <c r="AP136" s="834"/>
      <c r="AQ136" s="845" t="s">
        <v>1287</v>
      </c>
      <c r="AR136" s="845"/>
      <c r="AS136" s="845"/>
      <c r="AT136" s="845"/>
      <c r="AU136" s="845"/>
      <c r="AV136" s="845"/>
      <c r="AW136" s="834" t="s">
        <v>1288</v>
      </c>
      <c r="AX136" s="834"/>
      <c r="AY136" s="834"/>
      <c r="AZ136" s="834"/>
      <c r="BA136" s="834"/>
      <c r="BB136" s="834"/>
      <c r="BC136" s="834" t="s">
        <v>1289</v>
      </c>
      <c r="BD136" s="834"/>
      <c r="BE136" s="834"/>
      <c r="BF136" s="834"/>
      <c r="BG136" s="834"/>
      <c r="BH136" s="834"/>
    </row>
    <row r="137" ht="15.95" customHeight="1" spans="1:60">
      <c r="A137" s="824"/>
      <c r="B137" s="825"/>
      <c r="C137" s="825"/>
      <c r="D137" s="826"/>
      <c r="E137" s="834" t="s">
        <v>856</v>
      </c>
      <c r="F137" s="834"/>
      <c r="G137" s="834"/>
      <c r="H137" s="834"/>
      <c r="I137" s="845" t="s">
        <v>1290</v>
      </c>
      <c r="J137" s="845"/>
      <c r="K137" s="845"/>
      <c r="L137" s="845"/>
      <c r="M137" s="845"/>
      <c r="N137" s="845"/>
      <c r="O137" s="834" t="s">
        <v>1291</v>
      </c>
      <c r="P137" s="834"/>
      <c r="Q137" s="834"/>
      <c r="R137" s="834"/>
      <c r="S137" s="834"/>
      <c r="T137" s="834"/>
      <c r="U137" s="834" t="s">
        <v>1292</v>
      </c>
      <c r="V137" s="834"/>
      <c r="W137" s="834"/>
      <c r="X137" s="834"/>
      <c r="Y137" s="834"/>
      <c r="Z137" s="834"/>
      <c r="AA137" s="834" t="s">
        <v>1293</v>
      </c>
      <c r="AB137" s="834"/>
      <c r="AC137" s="834"/>
      <c r="AD137" s="834"/>
      <c r="AE137" s="834"/>
      <c r="AF137" s="834"/>
      <c r="AG137" s="834"/>
      <c r="AH137" s="834"/>
      <c r="AI137" s="834"/>
      <c r="AJ137" s="834"/>
      <c r="AK137" s="845" t="s">
        <v>1294</v>
      </c>
      <c r="AL137" s="845"/>
      <c r="AM137" s="845"/>
      <c r="AN137" s="845"/>
      <c r="AO137" s="845"/>
      <c r="AP137" s="845"/>
      <c r="AQ137" s="834" t="s">
        <v>1295</v>
      </c>
      <c r="AR137" s="834"/>
      <c r="AS137" s="834"/>
      <c r="AT137" s="834"/>
      <c r="AU137" s="834"/>
      <c r="AV137" s="834"/>
      <c r="AW137" s="834" t="s">
        <v>1296</v>
      </c>
      <c r="AX137" s="834"/>
      <c r="AY137" s="834"/>
      <c r="AZ137" s="834"/>
      <c r="BA137" s="834"/>
      <c r="BB137" s="834"/>
      <c r="BC137" s="834" t="s">
        <v>1297</v>
      </c>
      <c r="BD137" s="834"/>
      <c r="BE137" s="834"/>
      <c r="BF137" s="834"/>
      <c r="BG137" s="834"/>
      <c r="BH137" s="874"/>
    </row>
    <row r="138" spans="1:60">
      <c r="A138" s="824"/>
      <c r="B138" s="825"/>
      <c r="C138" s="825"/>
      <c r="D138" s="826"/>
      <c r="E138" s="833" t="s">
        <v>858</v>
      </c>
      <c r="F138" s="833"/>
      <c r="G138" s="833"/>
      <c r="H138" s="833"/>
      <c r="I138" s="834" t="s">
        <v>1298</v>
      </c>
      <c r="J138" s="834"/>
      <c r="K138" s="834"/>
      <c r="L138" s="834"/>
      <c r="M138" s="834"/>
      <c r="N138" s="834"/>
      <c r="O138" s="845" t="s">
        <v>1299</v>
      </c>
      <c r="P138" s="845"/>
      <c r="Q138" s="845"/>
      <c r="R138" s="845"/>
      <c r="S138" s="845"/>
      <c r="T138" s="845"/>
      <c r="U138" s="845" t="s">
        <v>1300</v>
      </c>
      <c r="V138" s="845"/>
      <c r="W138" s="845"/>
      <c r="X138" s="845"/>
      <c r="Y138" s="845"/>
      <c r="Z138" s="845"/>
      <c r="AA138" s="834" t="s">
        <v>1301</v>
      </c>
      <c r="AB138" s="834"/>
      <c r="AC138" s="834"/>
      <c r="AD138" s="834"/>
      <c r="AE138" s="834"/>
      <c r="AF138" s="834"/>
      <c r="AG138" s="834"/>
      <c r="AH138" s="834"/>
      <c r="AI138" s="834"/>
      <c r="AJ138" s="834"/>
      <c r="AK138" s="834" t="s">
        <v>1302</v>
      </c>
      <c r="AL138" s="834"/>
      <c r="AM138" s="834"/>
      <c r="AN138" s="834"/>
      <c r="AO138" s="834"/>
      <c r="AP138" s="834"/>
      <c r="AQ138" s="845" t="s">
        <v>1303</v>
      </c>
      <c r="AR138" s="845"/>
      <c r="AS138" s="845"/>
      <c r="AT138" s="845"/>
      <c r="AU138" s="845"/>
      <c r="AV138" s="845"/>
      <c r="AW138" s="845" t="s">
        <v>1304</v>
      </c>
      <c r="AX138" s="845"/>
      <c r="AY138" s="845"/>
      <c r="AZ138" s="845"/>
      <c r="BA138" s="845"/>
      <c r="BB138" s="845"/>
      <c r="BC138" s="834" t="s">
        <v>1305</v>
      </c>
      <c r="BD138" s="834"/>
      <c r="BE138" s="834"/>
      <c r="BF138" s="834"/>
      <c r="BG138" s="834"/>
      <c r="BH138" s="834"/>
    </row>
    <row r="139" spans="1:60">
      <c r="A139" s="824"/>
      <c r="B139" s="825"/>
      <c r="C139" s="825"/>
      <c r="D139" s="826"/>
      <c r="E139" s="834" t="s">
        <v>860</v>
      </c>
      <c r="F139" s="834"/>
      <c r="G139" s="834"/>
      <c r="H139" s="834"/>
      <c r="I139" s="845" t="s">
        <v>1306</v>
      </c>
      <c r="J139" s="845"/>
      <c r="K139" s="845"/>
      <c r="L139" s="845"/>
      <c r="M139" s="845"/>
      <c r="N139" s="845"/>
      <c r="O139" s="845" t="s">
        <v>1307</v>
      </c>
      <c r="P139" s="845"/>
      <c r="Q139" s="845"/>
      <c r="R139" s="845"/>
      <c r="S139" s="845"/>
      <c r="T139" s="845"/>
      <c r="U139" s="834" t="s">
        <v>1308</v>
      </c>
      <c r="V139" s="834"/>
      <c r="W139" s="834"/>
      <c r="X139" s="834"/>
      <c r="Y139" s="834"/>
      <c r="Z139" s="834"/>
      <c r="AA139" s="834" t="s">
        <v>1309</v>
      </c>
      <c r="AB139" s="834"/>
      <c r="AC139" s="834"/>
      <c r="AD139" s="834"/>
      <c r="AE139" s="834"/>
      <c r="AF139" s="834"/>
      <c r="AG139" s="834"/>
      <c r="AH139" s="834"/>
      <c r="AI139" s="834"/>
      <c r="AJ139" s="834"/>
      <c r="AK139" s="845" t="s">
        <v>1310</v>
      </c>
      <c r="AL139" s="845"/>
      <c r="AM139" s="845"/>
      <c r="AN139" s="845"/>
      <c r="AO139" s="845"/>
      <c r="AP139" s="845"/>
      <c r="AQ139" s="845" t="s">
        <v>1311</v>
      </c>
      <c r="AR139" s="845"/>
      <c r="AS139" s="845"/>
      <c r="AT139" s="845"/>
      <c r="AU139" s="845"/>
      <c r="AV139" s="845"/>
      <c r="AW139" s="834" t="s">
        <v>1312</v>
      </c>
      <c r="AX139" s="834"/>
      <c r="AY139" s="834"/>
      <c r="AZ139" s="834"/>
      <c r="BA139" s="834"/>
      <c r="BB139" s="834"/>
      <c r="BC139" s="834" t="s">
        <v>1313</v>
      </c>
      <c r="BD139" s="834"/>
      <c r="BE139" s="834"/>
      <c r="BF139" s="834"/>
      <c r="BG139" s="834"/>
      <c r="BH139" s="874"/>
    </row>
    <row r="140" spans="1:60">
      <c r="A140" s="824"/>
      <c r="B140" s="825"/>
      <c r="C140" s="825"/>
      <c r="D140" s="826"/>
      <c r="E140" s="833" t="s">
        <v>862</v>
      </c>
      <c r="F140" s="833"/>
      <c r="G140" s="833"/>
      <c r="H140" s="833"/>
      <c r="I140" s="834" t="s">
        <v>1314</v>
      </c>
      <c r="J140" s="834"/>
      <c r="K140" s="834"/>
      <c r="L140" s="834"/>
      <c r="M140" s="834"/>
      <c r="N140" s="834"/>
      <c r="O140" s="845" t="s">
        <v>1315</v>
      </c>
      <c r="P140" s="845"/>
      <c r="Q140" s="845"/>
      <c r="R140" s="845"/>
      <c r="S140" s="845"/>
      <c r="T140" s="845"/>
      <c r="U140" s="834" t="s">
        <v>1316</v>
      </c>
      <c r="V140" s="834"/>
      <c r="W140" s="834"/>
      <c r="X140" s="834"/>
      <c r="Y140" s="834"/>
      <c r="Z140" s="834"/>
      <c r="AA140" s="834" t="s">
        <v>1317</v>
      </c>
      <c r="AB140" s="834"/>
      <c r="AC140" s="834"/>
      <c r="AD140" s="834"/>
      <c r="AE140" s="834"/>
      <c r="AF140" s="834"/>
      <c r="AG140" s="834"/>
      <c r="AH140" s="834"/>
      <c r="AI140" s="834"/>
      <c r="AJ140" s="834"/>
      <c r="AK140" s="834" t="s">
        <v>1318</v>
      </c>
      <c r="AL140" s="834"/>
      <c r="AM140" s="834"/>
      <c r="AN140" s="834"/>
      <c r="AO140" s="834"/>
      <c r="AP140" s="834"/>
      <c r="AQ140" s="845" t="s">
        <v>1319</v>
      </c>
      <c r="AR140" s="845"/>
      <c r="AS140" s="845"/>
      <c r="AT140" s="845"/>
      <c r="AU140" s="845"/>
      <c r="AV140" s="845"/>
      <c r="AW140" s="834" t="s">
        <v>1320</v>
      </c>
      <c r="AX140" s="834"/>
      <c r="AY140" s="834"/>
      <c r="AZ140" s="834"/>
      <c r="BA140" s="834"/>
      <c r="BB140" s="834"/>
      <c r="BC140" s="834" t="s">
        <v>1321</v>
      </c>
      <c r="BD140" s="834"/>
      <c r="BE140" s="834"/>
      <c r="BF140" s="834"/>
      <c r="BG140" s="834"/>
      <c r="BH140" s="834"/>
    </row>
    <row r="141" spans="1:60">
      <c r="A141" s="824"/>
      <c r="B141" s="825"/>
      <c r="C141" s="825"/>
      <c r="D141" s="826"/>
      <c r="E141" s="834" t="s">
        <v>864</v>
      </c>
      <c r="F141" s="834"/>
      <c r="G141" s="834"/>
      <c r="H141" s="834"/>
      <c r="I141" s="845" t="s">
        <v>1322</v>
      </c>
      <c r="J141" s="845"/>
      <c r="K141" s="845"/>
      <c r="L141" s="845"/>
      <c r="M141" s="845"/>
      <c r="N141" s="845"/>
      <c r="O141" s="834" t="s">
        <v>1323</v>
      </c>
      <c r="P141" s="834"/>
      <c r="Q141" s="834"/>
      <c r="R141" s="834"/>
      <c r="S141" s="834"/>
      <c r="T141" s="834"/>
      <c r="U141" s="834" t="s">
        <v>1324</v>
      </c>
      <c r="V141" s="834"/>
      <c r="W141" s="834"/>
      <c r="X141" s="834"/>
      <c r="Y141" s="834"/>
      <c r="Z141" s="834"/>
      <c r="AA141" s="834" t="s">
        <v>1325</v>
      </c>
      <c r="AB141" s="834"/>
      <c r="AC141" s="834"/>
      <c r="AD141" s="834"/>
      <c r="AE141" s="834"/>
      <c r="AF141" s="834"/>
      <c r="AG141" s="834"/>
      <c r="AH141" s="834"/>
      <c r="AI141" s="834"/>
      <c r="AJ141" s="834"/>
      <c r="AK141" s="845" t="s">
        <v>1326</v>
      </c>
      <c r="AL141" s="845"/>
      <c r="AM141" s="845"/>
      <c r="AN141" s="845"/>
      <c r="AO141" s="845"/>
      <c r="AP141" s="845"/>
      <c r="AQ141" s="834" t="s">
        <v>1327</v>
      </c>
      <c r="AR141" s="834"/>
      <c r="AS141" s="834"/>
      <c r="AT141" s="834"/>
      <c r="AU141" s="834"/>
      <c r="AV141" s="834"/>
      <c r="AW141" s="834" t="s">
        <v>1328</v>
      </c>
      <c r="AX141" s="834"/>
      <c r="AY141" s="834"/>
      <c r="AZ141" s="834"/>
      <c r="BA141" s="834"/>
      <c r="BB141" s="834"/>
      <c r="BC141" s="834" t="s">
        <v>1329</v>
      </c>
      <c r="BD141" s="834"/>
      <c r="BE141" s="834"/>
      <c r="BF141" s="834"/>
      <c r="BG141" s="834"/>
      <c r="BH141" s="874"/>
    </row>
    <row r="142" spans="1:60">
      <c r="A142" s="824"/>
      <c r="B142" s="825"/>
      <c r="C142" s="825"/>
      <c r="D142" s="826"/>
      <c r="E142" s="833" t="s">
        <v>866</v>
      </c>
      <c r="F142" s="833"/>
      <c r="G142" s="833"/>
      <c r="H142" s="833"/>
      <c r="I142" s="834" t="s">
        <v>1330</v>
      </c>
      <c r="J142" s="834"/>
      <c r="K142" s="834"/>
      <c r="L142" s="834"/>
      <c r="M142" s="834"/>
      <c r="N142" s="834"/>
      <c r="O142" s="845" t="s">
        <v>1331</v>
      </c>
      <c r="P142" s="845"/>
      <c r="Q142" s="845"/>
      <c r="R142" s="845"/>
      <c r="S142" s="845"/>
      <c r="T142" s="845"/>
      <c r="U142" s="845" t="s">
        <v>1332</v>
      </c>
      <c r="V142" s="845"/>
      <c r="W142" s="845"/>
      <c r="X142" s="845"/>
      <c r="Y142" s="845"/>
      <c r="Z142" s="845"/>
      <c r="AA142" s="834" t="s">
        <v>1333</v>
      </c>
      <c r="AB142" s="834"/>
      <c r="AC142" s="834"/>
      <c r="AD142" s="834"/>
      <c r="AE142" s="834"/>
      <c r="AF142" s="834"/>
      <c r="AG142" s="834"/>
      <c r="AH142" s="834"/>
      <c r="AI142" s="834"/>
      <c r="AJ142" s="834"/>
      <c r="AK142" s="834" t="s">
        <v>1334</v>
      </c>
      <c r="AL142" s="834"/>
      <c r="AM142" s="834"/>
      <c r="AN142" s="834"/>
      <c r="AO142" s="834"/>
      <c r="AP142" s="834"/>
      <c r="AQ142" s="845" t="s">
        <v>1335</v>
      </c>
      <c r="AR142" s="845"/>
      <c r="AS142" s="845"/>
      <c r="AT142" s="845"/>
      <c r="AU142" s="845"/>
      <c r="AV142" s="845"/>
      <c r="AW142" s="845" t="s">
        <v>1336</v>
      </c>
      <c r="AX142" s="845"/>
      <c r="AY142" s="845"/>
      <c r="AZ142" s="845"/>
      <c r="BA142" s="845"/>
      <c r="BB142" s="845"/>
      <c r="BC142" s="834" t="s">
        <v>1337</v>
      </c>
      <c r="BD142" s="834"/>
      <c r="BE142" s="834"/>
      <c r="BF142" s="834"/>
      <c r="BG142" s="834"/>
      <c r="BH142" s="834"/>
    </row>
    <row r="143" spans="1:60">
      <c r="A143" s="824"/>
      <c r="B143" s="825"/>
      <c r="C143" s="825"/>
      <c r="D143" s="826"/>
      <c r="E143" s="834" t="s">
        <v>868</v>
      </c>
      <c r="F143" s="834"/>
      <c r="G143" s="834"/>
      <c r="H143" s="834"/>
      <c r="I143" s="845" t="s">
        <v>1338</v>
      </c>
      <c r="J143" s="845"/>
      <c r="K143" s="845"/>
      <c r="L143" s="845"/>
      <c r="M143" s="845"/>
      <c r="N143" s="845"/>
      <c r="O143" s="845" t="s">
        <v>1339</v>
      </c>
      <c r="P143" s="845"/>
      <c r="Q143" s="845"/>
      <c r="R143" s="845"/>
      <c r="S143" s="845"/>
      <c r="T143" s="845"/>
      <c r="U143" s="834" t="s">
        <v>1340</v>
      </c>
      <c r="V143" s="834"/>
      <c r="W143" s="834"/>
      <c r="X143" s="834"/>
      <c r="Y143" s="834"/>
      <c r="Z143" s="834"/>
      <c r="AA143" s="834" t="s">
        <v>1341</v>
      </c>
      <c r="AB143" s="834"/>
      <c r="AC143" s="834"/>
      <c r="AD143" s="834"/>
      <c r="AE143" s="834"/>
      <c r="AF143" s="834"/>
      <c r="AG143" s="834"/>
      <c r="AH143" s="834"/>
      <c r="AI143" s="834"/>
      <c r="AJ143" s="834"/>
      <c r="AK143" s="845" t="s">
        <v>1342</v>
      </c>
      <c r="AL143" s="845"/>
      <c r="AM143" s="845"/>
      <c r="AN143" s="845"/>
      <c r="AO143" s="845"/>
      <c r="AP143" s="845"/>
      <c r="AQ143" s="845" t="s">
        <v>1343</v>
      </c>
      <c r="AR143" s="845"/>
      <c r="AS143" s="845"/>
      <c r="AT143" s="845"/>
      <c r="AU143" s="845"/>
      <c r="AV143" s="845"/>
      <c r="AW143" s="834" t="s">
        <v>1344</v>
      </c>
      <c r="AX143" s="834"/>
      <c r="AY143" s="834"/>
      <c r="AZ143" s="834"/>
      <c r="BA143" s="834"/>
      <c r="BB143" s="834"/>
      <c r="BC143" s="834" t="s">
        <v>1345</v>
      </c>
      <c r="BD143" s="834"/>
      <c r="BE143" s="834"/>
      <c r="BF143" s="834"/>
      <c r="BG143" s="834"/>
      <c r="BH143" s="874"/>
    </row>
    <row r="144" spans="1:60">
      <c r="A144" s="819" t="s">
        <v>1346</v>
      </c>
      <c r="B144" s="819"/>
      <c r="C144" s="819"/>
      <c r="D144" s="820"/>
      <c r="E144" s="821" t="s">
        <v>1347</v>
      </c>
      <c r="F144" s="822"/>
      <c r="G144" s="822"/>
      <c r="H144" s="823"/>
      <c r="I144" s="839" t="s">
        <v>1348</v>
      </c>
      <c r="J144" s="839"/>
      <c r="K144" s="839"/>
      <c r="L144" s="839"/>
      <c r="M144" s="839"/>
      <c r="N144" s="839"/>
      <c r="O144" s="839"/>
      <c r="P144" s="839"/>
      <c r="Q144" s="839"/>
      <c r="R144" s="839"/>
      <c r="S144" s="839"/>
      <c r="T144" s="839"/>
      <c r="U144" s="839"/>
      <c r="V144" s="839"/>
      <c r="W144" s="839"/>
      <c r="X144" s="839"/>
      <c r="Y144" s="839"/>
      <c r="Z144" s="839"/>
      <c r="AA144" s="839" t="s">
        <v>1349</v>
      </c>
      <c r="AB144" s="839"/>
      <c r="AC144" s="839"/>
      <c r="AD144" s="839"/>
      <c r="AE144" s="839"/>
      <c r="AF144" s="839"/>
      <c r="AG144" s="839"/>
      <c r="AH144" s="839"/>
      <c r="AI144" s="839"/>
      <c r="AJ144" s="839"/>
      <c r="AK144" s="839" t="s">
        <v>1346</v>
      </c>
      <c r="AL144" s="839"/>
      <c r="AM144" s="839"/>
      <c r="AN144" s="839"/>
      <c r="AO144" s="839"/>
      <c r="AP144" s="839"/>
      <c r="AQ144" s="839"/>
      <c r="AR144" s="839"/>
      <c r="AS144" s="839"/>
      <c r="AT144" s="839"/>
      <c r="AU144" s="839"/>
      <c r="AV144" s="839"/>
      <c r="AW144" s="839"/>
      <c r="AX144" s="839"/>
      <c r="AY144" s="839"/>
      <c r="AZ144" s="839"/>
      <c r="BA144" s="839"/>
      <c r="BB144" s="839"/>
      <c r="BC144" s="839"/>
      <c r="BD144" s="839"/>
      <c r="BE144" s="839"/>
      <c r="BF144" s="839"/>
      <c r="BG144" s="839"/>
      <c r="BH144" s="839"/>
    </row>
    <row r="145" spans="1:60">
      <c r="A145" s="825"/>
      <c r="B145" s="825"/>
      <c r="C145" s="825"/>
      <c r="D145" s="826"/>
      <c r="E145" s="827"/>
      <c r="F145" s="828"/>
      <c r="G145" s="828"/>
      <c r="H145" s="829"/>
      <c r="I145" s="840" t="s">
        <v>1350</v>
      </c>
      <c r="J145" s="841"/>
      <c r="K145" s="841"/>
      <c r="L145" s="841"/>
      <c r="M145" s="841"/>
      <c r="N145" s="841"/>
      <c r="O145" s="840" t="s">
        <v>1125</v>
      </c>
      <c r="P145" s="841"/>
      <c r="Q145" s="841"/>
      <c r="R145" s="841"/>
      <c r="S145" s="841"/>
      <c r="T145" s="841"/>
      <c r="U145" s="852" t="s">
        <v>1351</v>
      </c>
      <c r="V145" s="839"/>
      <c r="W145" s="839"/>
      <c r="X145" s="839"/>
      <c r="Y145" s="839"/>
      <c r="Z145" s="839"/>
      <c r="AA145" s="852" t="s">
        <v>1352</v>
      </c>
      <c r="AB145" s="839"/>
      <c r="AC145" s="839"/>
      <c r="AD145" s="839"/>
      <c r="AE145" s="839"/>
      <c r="AF145" s="839"/>
      <c r="AG145" s="893" t="s">
        <v>1353</v>
      </c>
      <c r="AH145" s="894"/>
      <c r="AI145" s="893" t="s">
        <v>1354</v>
      </c>
      <c r="AJ145" s="894"/>
      <c r="AK145" s="840" t="s">
        <v>1355</v>
      </c>
      <c r="AL145" s="841"/>
      <c r="AM145" s="841"/>
      <c r="AN145" s="841"/>
      <c r="AO145" s="841"/>
      <c r="AP145" s="841"/>
      <c r="AQ145" s="840" t="s">
        <v>755</v>
      </c>
      <c r="AR145" s="841"/>
      <c r="AS145" s="841"/>
      <c r="AT145" s="841"/>
      <c r="AU145" s="841"/>
      <c r="AV145" s="841"/>
      <c r="AW145" s="852" t="s">
        <v>1024</v>
      </c>
      <c r="AX145" s="839"/>
      <c r="AY145" s="839"/>
      <c r="AZ145" s="839"/>
      <c r="BA145" s="839"/>
      <c r="BB145" s="839"/>
      <c r="BC145" s="852" t="s">
        <v>870</v>
      </c>
      <c r="BD145" s="839"/>
      <c r="BE145" s="839"/>
      <c r="BF145" s="839"/>
      <c r="BG145" s="839"/>
      <c r="BH145" s="872"/>
    </row>
    <row r="146" spans="1:60">
      <c r="A146" s="825"/>
      <c r="B146" s="825"/>
      <c r="C146" s="825"/>
      <c r="D146" s="826"/>
      <c r="E146" s="830"/>
      <c r="F146" s="831"/>
      <c r="G146" s="831"/>
      <c r="H146" s="832"/>
      <c r="I146" s="887"/>
      <c r="J146" s="887"/>
      <c r="K146" s="887"/>
      <c r="L146" s="887"/>
      <c r="M146" s="887"/>
      <c r="N146" s="887"/>
      <c r="O146" s="887" t="s">
        <v>1184</v>
      </c>
      <c r="P146" s="887"/>
      <c r="Q146" s="887"/>
      <c r="R146" s="887"/>
      <c r="S146" s="887"/>
      <c r="T146" s="887"/>
      <c r="U146" s="887" t="s">
        <v>1184</v>
      </c>
      <c r="V146" s="887"/>
      <c r="W146" s="887"/>
      <c r="X146" s="887"/>
      <c r="Y146" s="887"/>
      <c r="Z146" s="887"/>
      <c r="AA146" s="887"/>
      <c r="AB146" s="887"/>
      <c r="AC146" s="887"/>
      <c r="AD146" s="887"/>
      <c r="AE146" s="887"/>
      <c r="AF146" s="887"/>
      <c r="AG146" s="842"/>
      <c r="AH146" s="844"/>
      <c r="AI146" s="842"/>
      <c r="AJ146" s="844"/>
      <c r="AK146" s="842" t="s">
        <v>1184</v>
      </c>
      <c r="AL146" s="843"/>
      <c r="AM146" s="843"/>
      <c r="AN146" s="843"/>
      <c r="AO146" s="843"/>
      <c r="AP146" s="844"/>
      <c r="AQ146" s="842" t="s">
        <v>1356</v>
      </c>
      <c r="AR146" s="843"/>
      <c r="AS146" s="843"/>
      <c r="AT146" s="843"/>
      <c r="AU146" s="843"/>
      <c r="AV146" s="844"/>
      <c r="AW146" s="842" t="s">
        <v>1357</v>
      </c>
      <c r="AX146" s="843"/>
      <c r="AY146" s="843"/>
      <c r="AZ146" s="843"/>
      <c r="BA146" s="843"/>
      <c r="BB146" s="844"/>
      <c r="BC146" s="842" t="s">
        <v>1185</v>
      </c>
      <c r="BD146" s="843"/>
      <c r="BE146" s="843"/>
      <c r="BF146" s="843"/>
      <c r="BG146" s="843"/>
      <c r="BH146" s="873"/>
    </row>
    <row r="147" spans="1:60">
      <c r="A147" s="825"/>
      <c r="B147" s="825"/>
      <c r="C147" s="825"/>
      <c r="D147" s="826"/>
      <c r="E147" s="833" t="s">
        <v>1358</v>
      </c>
      <c r="F147" s="833"/>
      <c r="G147" s="833"/>
      <c r="H147" s="833"/>
      <c r="I147" s="834" t="s">
        <v>1359</v>
      </c>
      <c r="J147" s="834"/>
      <c r="K147" s="834"/>
      <c r="L147" s="834"/>
      <c r="M147" s="834"/>
      <c r="N147" s="834"/>
      <c r="O147" s="845" t="s">
        <v>1360</v>
      </c>
      <c r="P147" s="845"/>
      <c r="Q147" s="845"/>
      <c r="R147" s="845"/>
      <c r="S147" s="845"/>
      <c r="T147" s="845"/>
      <c r="U147" s="834" t="s">
        <v>1361</v>
      </c>
      <c r="V147" s="834"/>
      <c r="W147" s="834"/>
      <c r="X147" s="834"/>
      <c r="Y147" s="834"/>
      <c r="Z147" s="834"/>
      <c r="AA147" s="834" t="s">
        <v>1362</v>
      </c>
      <c r="AB147" s="834"/>
      <c r="AC147" s="834"/>
      <c r="AD147" s="834"/>
      <c r="AE147" s="834"/>
      <c r="AF147" s="834"/>
      <c r="AG147" s="834" t="s">
        <v>1363</v>
      </c>
      <c r="AH147" s="834"/>
      <c r="AI147" s="834" t="s">
        <v>1364</v>
      </c>
      <c r="AJ147" s="834"/>
      <c r="AK147" s="834" t="s">
        <v>1365</v>
      </c>
      <c r="AL147" s="834"/>
      <c r="AM147" s="834"/>
      <c r="AN147" s="834"/>
      <c r="AO147" s="834"/>
      <c r="AP147" s="834"/>
      <c r="AQ147" s="834" t="s">
        <v>1366</v>
      </c>
      <c r="AR147" s="834"/>
      <c r="AS147" s="834"/>
      <c r="AT147" s="834"/>
      <c r="AU147" s="834"/>
      <c r="AV147" s="834"/>
      <c r="AW147" s="834" t="s">
        <v>1367</v>
      </c>
      <c r="AX147" s="834"/>
      <c r="AY147" s="834"/>
      <c r="AZ147" s="834"/>
      <c r="BA147" s="834"/>
      <c r="BB147" s="834"/>
      <c r="BC147" s="834" t="s">
        <v>1368</v>
      </c>
      <c r="BD147" s="834"/>
      <c r="BE147" s="834"/>
      <c r="BF147" s="834"/>
      <c r="BG147" s="834"/>
      <c r="BH147" s="834"/>
    </row>
    <row r="148" spans="1:60">
      <c r="A148" s="825"/>
      <c r="B148" s="825"/>
      <c r="C148" s="825"/>
      <c r="D148" s="826"/>
      <c r="E148" s="833" t="s">
        <v>1369</v>
      </c>
      <c r="F148" s="833"/>
      <c r="G148" s="833"/>
      <c r="H148" s="833"/>
      <c r="I148" s="845" t="s">
        <v>1370</v>
      </c>
      <c r="J148" s="845"/>
      <c r="K148" s="845"/>
      <c r="L148" s="845"/>
      <c r="M148" s="845"/>
      <c r="N148" s="845"/>
      <c r="O148" s="834" t="s">
        <v>1371</v>
      </c>
      <c r="P148" s="834"/>
      <c r="Q148" s="834"/>
      <c r="R148" s="834"/>
      <c r="S148" s="834"/>
      <c r="T148" s="834"/>
      <c r="U148" s="834" t="s">
        <v>1372</v>
      </c>
      <c r="V148" s="834"/>
      <c r="W148" s="834"/>
      <c r="X148" s="834"/>
      <c r="Y148" s="834"/>
      <c r="Z148" s="834"/>
      <c r="AA148" s="834" t="s">
        <v>1373</v>
      </c>
      <c r="AB148" s="834"/>
      <c r="AC148" s="834"/>
      <c r="AD148" s="834"/>
      <c r="AE148" s="834"/>
      <c r="AF148" s="834"/>
      <c r="AG148" s="834" t="s">
        <v>1374</v>
      </c>
      <c r="AH148" s="834"/>
      <c r="AI148" s="834" t="s">
        <v>1375</v>
      </c>
      <c r="AJ148" s="834"/>
      <c r="AK148" s="834" t="s">
        <v>1376</v>
      </c>
      <c r="AL148" s="834"/>
      <c r="AM148" s="834"/>
      <c r="AN148" s="834"/>
      <c r="AO148" s="834"/>
      <c r="AP148" s="834"/>
      <c r="AQ148" s="834" t="s">
        <v>1377</v>
      </c>
      <c r="AR148" s="834"/>
      <c r="AS148" s="834"/>
      <c r="AT148" s="834"/>
      <c r="AU148" s="834"/>
      <c r="AV148" s="834"/>
      <c r="AW148" s="834" t="s">
        <v>1378</v>
      </c>
      <c r="AX148" s="834"/>
      <c r="AY148" s="834"/>
      <c r="AZ148" s="834"/>
      <c r="BA148" s="834"/>
      <c r="BB148" s="834"/>
      <c r="BC148" s="834" t="s">
        <v>1379</v>
      </c>
      <c r="BD148" s="834"/>
      <c r="BE148" s="834"/>
      <c r="BF148" s="834"/>
      <c r="BG148" s="834"/>
      <c r="BH148" s="874"/>
    </row>
    <row r="149" spans="1:60">
      <c r="A149" s="825"/>
      <c r="B149" s="825"/>
      <c r="C149" s="825"/>
      <c r="D149" s="826"/>
      <c r="E149" s="833" t="s">
        <v>1380</v>
      </c>
      <c r="F149" s="833"/>
      <c r="G149" s="833"/>
      <c r="H149" s="833"/>
      <c r="I149" s="834" t="s">
        <v>1381</v>
      </c>
      <c r="J149" s="834"/>
      <c r="K149" s="834"/>
      <c r="L149" s="834"/>
      <c r="M149" s="834"/>
      <c r="N149" s="834"/>
      <c r="O149" s="845" t="s">
        <v>1382</v>
      </c>
      <c r="P149" s="845"/>
      <c r="Q149" s="845"/>
      <c r="R149" s="845"/>
      <c r="S149" s="845"/>
      <c r="T149" s="845"/>
      <c r="U149" s="845" t="s">
        <v>1383</v>
      </c>
      <c r="V149" s="845"/>
      <c r="W149" s="845"/>
      <c r="X149" s="845"/>
      <c r="Y149" s="845"/>
      <c r="Z149" s="845"/>
      <c r="AA149" s="834" t="s">
        <v>1384</v>
      </c>
      <c r="AB149" s="834"/>
      <c r="AC149" s="834"/>
      <c r="AD149" s="834"/>
      <c r="AE149" s="834"/>
      <c r="AF149" s="834"/>
      <c r="AG149" s="834" t="s">
        <v>1385</v>
      </c>
      <c r="AH149" s="834"/>
      <c r="AI149" s="834" t="s">
        <v>1386</v>
      </c>
      <c r="AJ149" s="834"/>
      <c r="AK149" s="845" t="s">
        <v>1387</v>
      </c>
      <c r="AL149" s="845"/>
      <c r="AM149" s="845"/>
      <c r="AN149" s="845"/>
      <c r="AO149" s="845"/>
      <c r="AP149" s="845"/>
      <c r="AQ149" s="834" t="s">
        <v>1388</v>
      </c>
      <c r="AR149" s="834"/>
      <c r="AS149" s="834"/>
      <c r="AT149" s="834"/>
      <c r="AU149" s="834"/>
      <c r="AV149" s="834"/>
      <c r="AW149" s="845" t="s">
        <v>1389</v>
      </c>
      <c r="AX149" s="845"/>
      <c r="AY149" s="845"/>
      <c r="AZ149" s="845"/>
      <c r="BA149" s="845"/>
      <c r="BB149" s="845"/>
      <c r="BC149" s="834" t="s">
        <v>1390</v>
      </c>
      <c r="BD149" s="834"/>
      <c r="BE149" s="834"/>
      <c r="BF149" s="834"/>
      <c r="BG149" s="834"/>
      <c r="BH149" s="834"/>
    </row>
    <row r="150" spans="1:60">
      <c r="A150" s="825"/>
      <c r="B150" s="825"/>
      <c r="C150" s="825"/>
      <c r="D150" s="826"/>
      <c r="E150" s="833" t="s">
        <v>1391</v>
      </c>
      <c r="F150" s="833"/>
      <c r="G150" s="833"/>
      <c r="H150" s="833"/>
      <c r="I150" s="845" t="s">
        <v>1392</v>
      </c>
      <c r="J150" s="845"/>
      <c r="K150" s="845"/>
      <c r="L150" s="845"/>
      <c r="M150" s="845"/>
      <c r="N150" s="845"/>
      <c r="O150" s="845" t="s">
        <v>1393</v>
      </c>
      <c r="P150" s="845"/>
      <c r="Q150" s="845"/>
      <c r="R150" s="845"/>
      <c r="S150" s="845"/>
      <c r="T150" s="845"/>
      <c r="U150" s="834" t="s">
        <v>1394</v>
      </c>
      <c r="V150" s="834"/>
      <c r="W150" s="834"/>
      <c r="X150" s="834"/>
      <c r="Y150" s="834"/>
      <c r="Z150" s="834"/>
      <c r="AA150" s="834" t="s">
        <v>1395</v>
      </c>
      <c r="AB150" s="834"/>
      <c r="AC150" s="834"/>
      <c r="AD150" s="834"/>
      <c r="AE150" s="834"/>
      <c r="AF150" s="834"/>
      <c r="AG150" s="834" t="s">
        <v>1396</v>
      </c>
      <c r="AH150" s="834"/>
      <c r="AI150" s="834" t="s">
        <v>1397</v>
      </c>
      <c r="AJ150" s="834"/>
      <c r="AK150" s="834" t="s">
        <v>1398</v>
      </c>
      <c r="AL150" s="834"/>
      <c r="AM150" s="834"/>
      <c r="AN150" s="834"/>
      <c r="AO150" s="834"/>
      <c r="AP150" s="834"/>
      <c r="AQ150" s="834" t="s">
        <v>1399</v>
      </c>
      <c r="AR150" s="834"/>
      <c r="AS150" s="834"/>
      <c r="AT150" s="834"/>
      <c r="AU150" s="834"/>
      <c r="AV150" s="834"/>
      <c r="AW150" s="834" t="s">
        <v>1400</v>
      </c>
      <c r="AX150" s="834"/>
      <c r="AY150" s="834"/>
      <c r="AZ150" s="834"/>
      <c r="BA150" s="834"/>
      <c r="BB150" s="834"/>
      <c r="BC150" s="834" t="s">
        <v>1401</v>
      </c>
      <c r="BD150" s="834"/>
      <c r="BE150" s="834"/>
      <c r="BF150" s="834"/>
      <c r="BG150" s="834"/>
      <c r="BH150" s="874"/>
    </row>
    <row r="151" spans="1:60">
      <c r="A151" s="825"/>
      <c r="B151" s="825"/>
      <c r="C151" s="825"/>
      <c r="D151" s="826"/>
      <c r="E151" s="833" t="s">
        <v>1402</v>
      </c>
      <c r="F151" s="833"/>
      <c r="G151" s="833"/>
      <c r="H151" s="833"/>
      <c r="I151" s="834" t="s">
        <v>1403</v>
      </c>
      <c r="J151" s="834"/>
      <c r="K151" s="834"/>
      <c r="L151" s="834"/>
      <c r="M151" s="834"/>
      <c r="N151" s="834"/>
      <c r="O151" s="845" t="s">
        <v>1404</v>
      </c>
      <c r="P151" s="845"/>
      <c r="Q151" s="845"/>
      <c r="R151" s="845"/>
      <c r="S151" s="845"/>
      <c r="T151" s="845"/>
      <c r="U151" s="834" t="s">
        <v>1405</v>
      </c>
      <c r="V151" s="834"/>
      <c r="W151" s="834"/>
      <c r="X151" s="834"/>
      <c r="Y151" s="834"/>
      <c r="Z151" s="834"/>
      <c r="AA151" s="834" t="s">
        <v>1406</v>
      </c>
      <c r="AB151" s="834"/>
      <c r="AC151" s="834"/>
      <c r="AD151" s="834"/>
      <c r="AE151" s="834"/>
      <c r="AF151" s="834"/>
      <c r="AG151" s="834" t="s">
        <v>1407</v>
      </c>
      <c r="AH151" s="834"/>
      <c r="AI151" s="834" t="s">
        <v>1408</v>
      </c>
      <c r="AJ151" s="834"/>
      <c r="AK151" s="834" t="s">
        <v>1409</v>
      </c>
      <c r="AL151" s="834"/>
      <c r="AM151" s="834"/>
      <c r="AN151" s="834"/>
      <c r="AO151" s="834"/>
      <c r="AP151" s="834"/>
      <c r="AQ151" s="834" t="s">
        <v>1410</v>
      </c>
      <c r="AR151" s="834"/>
      <c r="AS151" s="834"/>
      <c r="AT151" s="834"/>
      <c r="AU151" s="834"/>
      <c r="AV151" s="834"/>
      <c r="AW151" s="834" t="s">
        <v>1411</v>
      </c>
      <c r="AX151" s="834"/>
      <c r="AY151" s="834"/>
      <c r="AZ151" s="834"/>
      <c r="BA151" s="834"/>
      <c r="BB151" s="834"/>
      <c r="BC151" s="834" t="s">
        <v>1412</v>
      </c>
      <c r="BD151" s="834"/>
      <c r="BE151" s="834"/>
      <c r="BF151" s="834"/>
      <c r="BG151" s="834"/>
      <c r="BH151" s="834"/>
    </row>
    <row r="152" spans="1:60">
      <c r="A152" s="825"/>
      <c r="B152" s="825"/>
      <c r="C152" s="825"/>
      <c r="D152" s="826"/>
      <c r="E152" s="833" t="s">
        <v>1413</v>
      </c>
      <c r="F152" s="833"/>
      <c r="G152" s="833"/>
      <c r="H152" s="833"/>
      <c r="I152" s="845" t="s">
        <v>1414</v>
      </c>
      <c r="J152" s="845"/>
      <c r="K152" s="845"/>
      <c r="L152" s="845"/>
      <c r="M152" s="845"/>
      <c r="N152" s="845"/>
      <c r="O152" s="834" t="s">
        <v>1415</v>
      </c>
      <c r="P152" s="834"/>
      <c r="Q152" s="834"/>
      <c r="R152" s="834"/>
      <c r="S152" s="834"/>
      <c r="T152" s="834"/>
      <c r="U152" s="834" t="s">
        <v>1416</v>
      </c>
      <c r="V152" s="834"/>
      <c r="W152" s="834"/>
      <c r="X152" s="834"/>
      <c r="Y152" s="834"/>
      <c r="Z152" s="834"/>
      <c r="AA152" s="834" t="s">
        <v>1417</v>
      </c>
      <c r="AB152" s="834"/>
      <c r="AC152" s="834"/>
      <c r="AD152" s="834"/>
      <c r="AE152" s="834"/>
      <c r="AF152" s="834"/>
      <c r="AG152" s="834" t="s">
        <v>1418</v>
      </c>
      <c r="AH152" s="834"/>
      <c r="AI152" s="834" t="s">
        <v>1419</v>
      </c>
      <c r="AJ152" s="834"/>
      <c r="AK152" s="834" t="s">
        <v>1420</v>
      </c>
      <c r="AL152" s="834"/>
      <c r="AM152" s="834"/>
      <c r="AN152" s="834"/>
      <c r="AO152" s="834"/>
      <c r="AP152" s="834"/>
      <c r="AQ152" s="834" t="s">
        <v>1421</v>
      </c>
      <c r="AR152" s="834"/>
      <c r="AS152" s="834"/>
      <c r="AT152" s="834"/>
      <c r="AU152" s="834"/>
      <c r="AV152" s="834"/>
      <c r="AW152" s="834" t="s">
        <v>1422</v>
      </c>
      <c r="AX152" s="834"/>
      <c r="AY152" s="834"/>
      <c r="AZ152" s="834"/>
      <c r="BA152" s="834"/>
      <c r="BB152" s="834"/>
      <c r="BC152" s="834" t="s">
        <v>1423</v>
      </c>
      <c r="BD152" s="834"/>
      <c r="BE152" s="834"/>
      <c r="BF152" s="834"/>
      <c r="BG152" s="834"/>
      <c r="BH152" s="874"/>
    </row>
    <row r="153" spans="1:60">
      <c r="A153" s="825"/>
      <c r="B153" s="825"/>
      <c r="C153" s="825"/>
      <c r="D153" s="826"/>
      <c r="E153" s="833" t="s">
        <v>1424</v>
      </c>
      <c r="F153" s="833"/>
      <c r="G153" s="833"/>
      <c r="H153" s="833"/>
      <c r="I153" s="834" t="s">
        <v>1425</v>
      </c>
      <c r="J153" s="834"/>
      <c r="K153" s="834"/>
      <c r="L153" s="834"/>
      <c r="M153" s="834"/>
      <c r="N153" s="834"/>
      <c r="O153" s="845" t="s">
        <v>1426</v>
      </c>
      <c r="P153" s="845"/>
      <c r="Q153" s="845"/>
      <c r="R153" s="845"/>
      <c r="S153" s="845"/>
      <c r="T153" s="845"/>
      <c r="U153" s="845" t="s">
        <v>1427</v>
      </c>
      <c r="V153" s="845"/>
      <c r="W153" s="845"/>
      <c r="X153" s="845"/>
      <c r="Y153" s="845"/>
      <c r="Z153" s="845"/>
      <c r="AA153" s="834" t="s">
        <v>1428</v>
      </c>
      <c r="AB153" s="834"/>
      <c r="AC153" s="834"/>
      <c r="AD153" s="834"/>
      <c r="AE153" s="834"/>
      <c r="AF153" s="834"/>
      <c r="AG153" s="834" t="s">
        <v>1429</v>
      </c>
      <c r="AH153" s="834"/>
      <c r="AI153" s="834" t="s">
        <v>1430</v>
      </c>
      <c r="AJ153" s="834"/>
      <c r="AK153" s="845" t="s">
        <v>1431</v>
      </c>
      <c r="AL153" s="845"/>
      <c r="AM153" s="845"/>
      <c r="AN153" s="845"/>
      <c r="AO153" s="845"/>
      <c r="AP153" s="845"/>
      <c r="AQ153" s="834" t="s">
        <v>1432</v>
      </c>
      <c r="AR153" s="834"/>
      <c r="AS153" s="834"/>
      <c r="AT153" s="834"/>
      <c r="AU153" s="834"/>
      <c r="AV153" s="834"/>
      <c r="AW153" s="845" t="s">
        <v>1433</v>
      </c>
      <c r="AX153" s="845"/>
      <c r="AY153" s="845"/>
      <c r="AZ153" s="845"/>
      <c r="BA153" s="845"/>
      <c r="BB153" s="845"/>
      <c r="BC153" s="834" t="s">
        <v>1434</v>
      </c>
      <c r="BD153" s="834"/>
      <c r="BE153" s="834"/>
      <c r="BF153" s="834"/>
      <c r="BG153" s="834"/>
      <c r="BH153" s="834"/>
    </row>
    <row r="154" spans="1:60">
      <c r="A154" s="825"/>
      <c r="B154" s="825"/>
      <c r="C154" s="825"/>
      <c r="D154" s="826"/>
      <c r="E154" s="833" t="s">
        <v>1435</v>
      </c>
      <c r="F154" s="833"/>
      <c r="G154" s="833"/>
      <c r="H154" s="833"/>
      <c r="I154" s="845" t="s">
        <v>1436</v>
      </c>
      <c r="J154" s="845"/>
      <c r="K154" s="845"/>
      <c r="L154" s="845"/>
      <c r="M154" s="845"/>
      <c r="N154" s="845"/>
      <c r="O154" s="845" t="s">
        <v>1437</v>
      </c>
      <c r="P154" s="845"/>
      <c r="Q154" s="845"/>
      <c r="R154" s="845"/>
      <c r="S154" s="845"/>
      <c r="T154" s="845"/>
      <c r="U154" s="834" t="s">
        <v>1438</v>
      </c>
      <c r="V154" s="834"/>
      <c r="W154" s="834"/>
      <c r="X154" s="834"/>
      <c r="Y154" s="834"/>
      <c r="Z154" s="834"/>
      <c r="AA154" s="834" t="s">
        <v>1439</v>
      </c>
      <c r="AB154" s="834"/>
      <c r="AC154" s="834"/>
      <c r="AD154" s="834"/>
      <c r="AE154" s="834"/>
      <c r="AF154" s="834"/>
      <c r="AG154" s="834" t="s">
        <v>1440</v>
      </c>
      <c r="AH154" s="834"/>
      <c r="AI154" s="834" t="s">
        <v>1441</v>
      </c>
      <c r="AJ154" s="834"/>
      <c r="AK154" s="834" t="s">
        <v>1442</v>
      </c>
      <c r="AL154" s="834"/>
      <c r="AM154" s="834"/>
      <c r="AN154" s="834"/>
      <c r="AO154" s="834"/>
      <c r="AP154" s="834"/>
      <c r="AQ154" s="834" t="s">
        <v>1443</v>
      </c>
      <c r="AR154" s="834"/>
      <c r="AS154" s="834"/>
      <c r="AT154" s="834"/>
      <c r="AU154" s="834"/>
      <c r="AV154" s="834"/>
      <c r="AW154" s="834" t="s">
        <v>1444</v>
      </c>
      <c r="AX154" s="834"/>
      <c r="AY154" s="834"/>
      <c r="AZ154" s="834"/>
      <c r="BA154" s="834"/>
      <c r="BB154" s="834"/>
      <c r="BC154" s="834" t="s">
        <v>1445</v>
      </c>
      <c r="BD154" s="834"/>
      <c r="BE154" s="834"/>
      <c r="BF154" s="834"/>
      <c r="BG154" s="834"/>
      <c r="BH154" s="874"/>
    </row>
    <row r="155" spans="1:60">
      <c r="A155" s="825"/>
      <c r="B155" s="825"/>
      <c r="C155" s="825"/>
      <c r="D155" s="826"/>
      <c r="E155" s="833" t="s">
        <v>1446</v>
      </c>
      <c r="F155" s="833"/>
      <c r="G155" s="833"/>
      <c r="H155" s="833"/>
      <c r="I155" s="834" t="s">
        <v>1447</v>
      </c>
      <c r="J155" s="834"/>
      <c r="K155" s="834"/>
      <c r="L155" s="834"/>
      <c r="M155" s="834"/>
      <c r="N155" s="834"/>
      <c r="O155" s="845" t="s">
        <v>1448</v>
      </c>
      <c r="P155" s="845"/>
      <c r="Q155" s="845"/>
      <c r="R155" s="845"/>
      <c r="S155" s="845"/>
      <c r="T155" s="845"/>
      <c r="U155" s="834" t="s">
        <v>1449</v>
      </c>
      <c r="V155" s="834"/>
      <c r="W155" s="834"/>
      <c r="X155" s="834"/>
      <c r="Y155" s="834"/>
      <c r="Z155" s="834"/>
      <c r="AA155" s="834" t="s">
        <v>1450</v>
      </c>
      <c r="AB155" s="834"/>
      <c r="AC155" s="834"/>
      <c r="AD155" s="834"/>
      <c r="AE155" s="834"/>
      <c r="AF155" s="834"/>
      <c r="AG155" s="834" t="s">
        <v>1451</v>
      </c>
      <c r="AH155" s="834"/>
      <c r="AI155" s="834" t="s">
        <v>1452</v>
      </c>
      <c r="AJ155" s="834"/>
      <c r="AK155" s="834" t="s">
        <v>1453</v>
      </c>
      <c r="AL155" s="834"/>
      <c r="AM155" s="834"/>
      <c r="AN155" s="834"/>
      <c r="AO155" s="834"/>
      <c r="AP155" s="834"/>
      <c r="AQ155" s="834" t="s">
        <v>1454</v>
      </c>
      <c r="AR155" s="834"/>
      <c r="AS155" s="834"/>
      <c r="AT155" s="834"/>
      <c r="AU155" s="834"/>
      <c r="AV155" s="834"/>
      <c r="AW155" s="834" t="s">
        <v>1455</v>
      </c>
      <c r="AX155" s="834"/>
      <c r="AY155" s="834"/>
      <c r="AZ155" s="834"/>
      <c r="BA155" s="834"/>
      <c r="BB155" s="834"/>
      <c r="BC155" s="834" t="s">
        <v>1456</v>
      </c>
      <c r="BD155" s="834"/>
      <c r="BE155" s="834"/>
      <c r="BF155" s="834"/>
      <c r="BG155" s="834"/>
      <c r="BH155" s="834"/>
    </row>
    <row r="156" spans="1:60">
      <c r="A156" s="825"/>
      <c r="B156" s="825"/>
      <c r="C156" s="825"/>
      <c r="D156" s="826"/>
      <c r="E156" s="833" t="s">
        <v>1457</v>
      </c>
      <c r="F156" s="833"/>
      <c r="G156" s="833"/>
      <c r="H156" s="833"/>
      <c r="I156" s="845" t="s">
        <v>1458</v>
      </c>
      <c r="J156" s="845"/>
      <c r="K156" s="845"/>
      <c r="L156" s="845"/>
      <c r="M156" s="845"/>
      <c r="N156" s="845"/>
      <c r="O156" s="834" t="s">
        <v>1459</v>
      </c>
      <c r="P156" s="834"/>
      <c r="Q156" s="834"/>
      <c r="R156" s="834"/>
      <c r="S156" s="834"/>
      <c r="T156" s="834"/>
      <c r="U156" s="834" t="s">
        <v>1460</v>
      </c>
      <c r="V156" s="834"/>
      <c r="W156" s="834"/>
      <c r="X156" s="834"/>
      <c r="Y156" s="834"/>
      <c r="Z156" s="834"/>
      <c r="AA156" s="834" t="s">
        <v>1461</v>
      </c>
      <c r="AB156" s="834"/>
      <c r="AC156" s="834"/>
      <c r="AD156" s="834"/>
      <c r="AE156" s="834"/>
      <c r="AF156" s="834"/>
      <c r="AG156" s="834" t="s">
        <v>1462</v>
      </c>
      <c r="AH156" s="834"/>
      <c r="AI156" s="834" t="s">
        <v>1463</v>
      </c>
      <c r="AJ156" s="834"/>
      <c r="AK156" s="834" t="s">
        <v>1464</v>
      </c>
      <c r="AL156" s="834"/>
      <c r="AM156" s="834"/>
      <c r="AN156" s="834"/>
      <c r="AO156" s="834"/>
      <c r="AP156" s="834"/>
      <c r="AQ156" s="834" t="s">
        <v>1465</v>
      </c>
      <c r="AR156" s="834"/>
      <c r="AS156" s="834"/>
      <c r="AT156" s="834"/>
      <c r="AU156" s="834"/>
      <c r="AV156" s="834"/>
      <c r="AW156" s="834" t="s">
        <v>1466</v>
      </c>
      <c r="AX156" s="834"/>
      <c r="AY156" s="834"/>
      <c r="AZ156" s="834"/>
      <c r="BA156" s="834"/>
      <c r="BB156" s="834"/>
      <c r="BC156" s="834" t="s">
        <v>1467</v>
      </c>
      <c r="BD156" s="834"/>
      <c r="BE156" s="834"/>
      <c r="BF156" s="834"/>
      <c r="BG156" s="834"/>
      <c r="BH156" s="874"/>
    </row>
    <row r="157" spans="1:60">
      <c r="A157" s="825"/>
      <c r="B157" s="825"/>
      <c r="C157" s="825"/>
      <c r="D157" s="826"/>
      <c r="E157" s="833" t="s">
        <v>1468</v>
      </c>
      <c r="F157" s="833"/>
      <c r="G157" s="833"/>
      <c r="H157" s="833"/>
      <c r="I157" s="834" t="s">
        <v>1469</v>
      </c>
      <c r="J157" s="834"/>
      <c r="K157" s="834"/>
      <c r="L157" s="834"/>
      <c r="M157" s="834"/>
      <c r="N157" s="834"/>
      <c r="O157" s="845" t="s">
        <v>1470</v>
      </c>
      <c r="P157" s="845"/>
      <c r="Q157" s="845"/>
      <c r="R157" s="845"/>
      <c r="S157" s="845"/>
      <c r="T157" s="845"/>
      <c r="U157" s="845" t="s">
        <v>1471</v>
      </c>
      <c r="V157" s="845"/>
      <c r="W157" s="845"/>
      <c r="X157" s="845"/>
      <c r="Y157" s="845"/>
      <c r="Z157" s="845"/>
      <c r="AA157" s="834" t="s">
        <v>1472</v>
      </c>
      <c r="AB157" s="834"/>
      <c r="AC157" s="834"/>
      <c r="AD157" s="834"/>
      <c r="AE157" s="834"/>
      <c r="AF157" s="834"/>
      <c r="AG157" s="834" t="s">
        <v>1473</v>
      </c>
      <c r="AH157" s="834"/>
      <c r="AI157" s="834" t="s">
        <v>1474</v>
      </c>
      <c r="AJ157" s="834"/>
      <c r="AK157" s="845" t="s">
        <v>1475</v>
      </c>
      <c r="AL157" s="845"/>
      <c r="AM157" s="845"/>
      <c r="AN157" s="845"/>
      <c r="AO157" s="845"/>
      <c r="AP157" s="845"/>
      <c r="AQ157" s="834" t="s">
        <v>1476</v>
      </c>
      <c r="AR157" s="834"/>
      <c r="AS157" s="834"/>
      <c r="AT157" s="834"/>
      <c r="AU157" s="834"/>
      <c r="AV157" s="834"/>
      <c r="AW157" s="845" t="s">
        <v>1477</v>
      </c>
      <c r="AX157" s="845"/>
      <c r="AY157" s="845"/>
      <c r="AZ157" s="845"/>
      <c r="BA157" s="845"/>
      <c r="BB157" s="845"/>
      <c r="BC157" s="834" t="s">
        <v>1478</v>
      </c>
      <c r="BD157" s="834"/>
      <c r="BE157" s="834"/>
      <c r="BF157" s="834"/>
      <c r="BG157" s="834"/>
      <c r="BH157" s="834"/>
    </row>
    <row r="158" spans="1:60">
      <c r="A158" s="825"/>
      <c r="B158" s="825"/>
      <c r="C158" s="825"/>
      <c r="D158" s="826"/>
      <c r="E158" s="833" t="s">
        <v>1479</v>
      </c>
      <c r="F158" s="833"/>
      <c r="G158" s="833"/>
      <c r="H158" s="833"/>
      <c r="I158" s="845" t="s">
        <v>1480</v>
      </c>
      <c r="J158" s="845"/>
      <c r="K158" s="845"/>
      <c r="L158" s="845"/>
      <c r="M158" s="845"/>
      <c r="N158" s="845"/>
      <c r="O158" s="845" t="s">
        <v>1481</v>
      </c>
      <c r="P158" s="845"/>
      <c r="Q158" s="845"/>
      <c r="R158" s="845"/>
      <c r="S158" s="845"/>
      <c r="T158" s="845"/>
      <c r="U158" s="834" t="s">
        <v>1482</v>
      </c>
      <c r="V158" s="834"/>
      <c r="W158" s="834"/>
      <c r="X158" s="834"/>
      <c r="Y158" s="834"/>
      <c r="Z158" s="834"/>
      <c r="AA158" s="834" t="s">
        <v>1483</v>
      </c>
      <c r="AB158" s="834"/>
      <c r="AC158" s="834"/>
      <c r="AD158" s="834"/>
      <c r="AE158" s="834"/>
      <c r="AF158" s="834"/>
      <c r="AG158" s="834" t="s">
        <v>1484</v>
      </c>
      <c r="AH158" s="834"/>
      <c r="AI158" s="834" t="s">
        <v>1485</v>
      </c>
      <c r="AJ158" s="834"/>
      <c r="AK158" s="834" t="s">
        <v>1486</v>
      </c>
      <c r="AL158" s="834"/>
      <c r="AM158" s="834"/>
      <c r="AN158" s="834"/>
      <c r="AO158" s="834"/>
      <c r="AP158" s="834"/>
      <c r="AQ158" s="834" t="s">
        <v>1487</v>
      </c>
      <c r="AR158" s="834"/>
      <c r="AS158" s="834"/>
      <c r="AT158" s="834"/>
      <c r="AU158" s="834"/>
      <c r="AV158" s="834"/>
      <c r="AW158" s="834" t="s">
        <v>1488</v>
      </c>
      <c r="AX158" s="834"/>
      <c r="AY158" s="834"/>
      <c r="AZ158" s="834"/>
      <c r="BA158" s="834"/>
      <c r="BB158" s="834"/>
      <c r="BC158" s="834" t="s">
        <v>1489</v>
      </c>
      <c r="BD158" s="834"/>
      <c r="BE158" s="834"/>
      <c r="BF158" s="834"/>
      <c r="BG158" s="834"/>
      <c r="BH158" s="874"/>
    </row>
    <row r="159" spans="1:60">
      <c r="A159" s="825"/>
      <c r="B159" s="825"/>
      <c r="C159" s="825"/>
      <c r="D159" s="826"/>
      <c r="E159" s="821" t="s">
        <v>1347</v>
      </c>
      <c r="F159" s="822"/>
      <c r="G159" s="822"/>
      <c r="H159" s="823"/>
      <c r="I159" s="852" t="s">
        <v>1490</v>
      </c>
      <c r="J159" s="839"/>
      <c r="K159" s="839"/>
      <c r="L159" s="839"/>
      <c r="M159" s="839"/>
      <c r="N159" s="839"/>
      <c r="O159" s="839"/>
      <c r="P159" s="839"/>
      <c r="Q159" s="839"/>
      <c r="R159" s="839"/>
      <c r="S159" s="839"/>
      <c r="T159" s="839"/>
      <c r="U159" s="839"/>
      <c r="V159" s="839"/>
      <c r="W159" s="839"/>
      <c r="X159" s="839"/>
      <c r="Y159" s="839"/>
      <c r="Z159" s="839"/>
      <c r="AA159" s="839" t="s">
        <v>1349</v>
      </c>
      <c r="AB159" s="839"/>
      <c r="AC159" s="839"/>
      <c r="AD159" s="839"/>
      <c r="AE159" s="839"/>
      <c r="AF159" s="839"/>
      <c r="AG159" s="839"/>
      <c r="AH159" s="839"/>
      <c r="AI159" s="839"/>
      <c r="AJ159" s="839"/>
      <c r="AK159" s="839" t="s">
        <v>1346</v>
      </c>
      <c r="AL159" s="839"/>
      <c r="AM159" s="839"/>
      <c r="AN159" s="839"/>
      <c r="AO159" s="839"/>
      <c r="AP159" s="839"/>
      <c r="AQ159" s="839"/>
      <c r="AR159" s="839"/>
      <c r="AS159" s="839"/>
      <c r="AT159" s="839"/>
      <c r="AU159" s="839"/>
      <c r="AV159" s="839"/>
      <c r="AW159" s="839"/>
      <c r="AX159" s="839"/>
      <c r="AY159" s="839"/>
      <c r="AZ159" s="839"/>
      <c r="BA159" s="839"/>
      <c r="BB159" s="839"/>
      <c r="BC159" s="839"/>
      <c r="BD159" s="839"/>
      <c r="BE159" s="839"/>
      <c r="BF159" s="839"/>
      <c r="BG159" s="839"/>
      <c r="BH159" s="839"/>
    </row>
    <row r="160" spans="1:60">
      <c r="A160" s="825"/>
      <c r="B160" s="825"/>
      <c r="C160" s="825"/>
      <c r="D160" s="826"/>
      <c r="E160" s="827"/>
      <c r="F160" s="828"/>
      <c r="G160" s="828"/>
      <c r="H160" s="829"/>
      <c r="I160" s="840" t="s">
        <v>1491</v>
      </c>
      <c r="J160" s="841"/>
      <c r="K160" s="841"/>
      <c r="L160" s="841"/>
      <c r="M160" s="841"/>
      <c r="N160" s="841"/>
      <c r="O160" s="840" t="s">
        <v>1125</v>
      </c>
      <c r="P160" s="841"/>
      <c r="Q160" s="841"/>
      <c r="R160" s="841"/>
      <c r="S160" s="841"/>
      <c r="T160" s="841"/>
      <c r="U160" s="852" t="s">
        <v>1351</v>
      </c>
      <c r="V160" s="839"/>
      <c r="W160" s="839"/>
      <c r="X160" s="839"/>
      <c r="Y160" s="839"/>
      <c r="Z160" s="839"/>
      <c r="AA160" s="852" t="s">
        <v>1352</v>
      </c>
      <c r="AB160" s="839"/>
      <c r="AC160" s="839"/>
      <c r="AD160" s="839"/>
      <c r="AE160" s="839"/>
      <c r="AF160" s="839"/>
      <c r="AG160" s="893" t="s">
        <v>1353</v>
      </c>
      <c r="AH160" s="894"/>
      <c r="AI160" s="893" t="s">
        <v>1354</v>
      </c>
      <c r="AJ160" s="894"/>
      <c r="AK160" s="840" t="s">
        <v>1492</v>
      </c>
      <c r="AL160" s="841"/>
      <c r="AM160" s="841"/>
      <c r="AN160" s="841"/>
      <c r="AO160" s="841"/>
      <c r="AP160" s="841"/>
      <c r="AQ160" s="840" t="s">
        <v>755</v>
      </c>
      <c r="AR160" s="841"/>
      <c r="AS160" s="841"/>
      <c r="AT160" s="841"/>
      <c r="AU160" s="841"/>
      <c r="AV160" s="841"/>
      <c r="AW160" s="852" t="s">
        <v>1024</v>
      </c>
      <c r="AX160" s="839"/>
      <c r="AY160" s="839"/>
      <c r="AZ160" s="839"/>
      <c r="BA160" s="839"/>
      <c r="BB160" s="839"/>
      <c r="BC160" s="852" t="s">
        <v>870</v>
      </c>
      <c r="BD160" s="839"/>
      <c r="BE160" s="839"/>
      <c r="BF160" s="839"/>
      <c r="BG160" s="839"/>
      <c r="BH160" s="872"/>
    </row>
    <row r="161" spans="1:60">
      <c r="A161" s="825"/>
      <c r="B161" s="825"/>
      <c r="C161" s="825"/>
      <c r="D161" s="826"/>
      <c r="E161" s="830"/>
      <c r="F161" s="831"/>
      <c r="G161" s="831"/>
      <c r="H161" s="832"/>
      <c r="I161" s="887"/>
      <c r="J161" s="887"/>
      <c r="K161" s="887"/>
      <c r="L161" s="887"/>
      <c r="M161" s="887"/>
      <c r="N161" s="887"/>
      <c r="O161" s="887" t="s">
        <v>1184</v>
      </c>
      <c r="P161" s="887"/>
      <c r="Q161" s="887"/>
      <c r="R161" s="887"/>
      <c r="S161" s="887"/>
      <c r="T161" s="887"/>
      <c r="U161" s="887" t="s">
        <v>1184</v>
      </c>
      <c r="V161" s="887"/>
      <c r="W161" s="887"/>
      <c r="X161" s="887"/>
      <c r="Y161" s="887"/>
      <c r="Z161" s="887"/>
      <c r="AA161" s="887"/>
      <c r="AB161" s="887"/>
      <c r="AC161" s="887"/>
      <c r="AD161" s="887"/>
      <c r="AE161" s="887"/>
      <c r="AF161" s="887"/>
      <c r="AG161" s="842"/>
      <c r="AH161" s="844"/>
      <c r="AI161" s="842"/>
      <c r="AJ161" s="844"/>
      <c r="AK161" s="842" t="s">
        <v>1184</v>
      </c>
      <c r="AL161" s="843"/>
      <c r="AM161" s="843"/>
      <c r="AN161" s="843"/>
      <c r="AO161" s="843"/>
      <c r="AP161" s="844"/>
      <c r="AQ161" s="842" t="s">
        <v>1356</v>
      </c>
      <c r="AR161" s="843"/>
      <c r="AS161" s="843"/>
      <c r="AT161" s="843"/>
      <c r="AU161" s="843"/>
      <c r="AV161" s="844"/>
      <c r="AW161" s="842" t="s">
        <v>1357</v>
      </c>
      <c r="AX161" s="843"/>
      <c r="AY161" s="843"/>
      <c r="AZ161" s="843"/>
      <c r="BA161" s="843"/>
      <c r="BB161" s="844"/>
      <c r="BC161" s="842" t="s">
        <v>1185</v>
      </c>
      <c r="BD161" s="843"/>
      <c r="BE161" s="843"/>
      <c r="BF161" s="843"/>
      <c r="BG161" s="843"/>
      <c r="BH161" s="873"/>
    </row>
    <row r="162" spans="1:60">
      <c r="A162" s="825"/>
      <c r="B162" s="825"/>
      <c r="C162" s="825"/>
      <c r="D162" s="826"/>
      <c r="E162" s="833" t="s">
        <v>1358</v>
      </c>
      <c r="F162" s="833"/>
      <c r="G162" s="833"/>
      <c r="H162" s="833"/>
      <c r="I162" s="834" t="s">
        <v>1493</v>
      </c>
      <c r="J162" s="834"/>
      <c r="K162" s="834"/>
      <c r="L162" s="834"/>
      <c r="M162" s="834"/>
      <c r="N162" s="834"/>
      <c r="O162" s="845" t="s">
        <v>1494</v>
      </c>
      <c r="P162" s="845"/>
      <c r="Q162" s="845"/>
      <c r="R162" s="845"/>
      <c r="S162" s="845"/>
      <c r="T162" s="845"/>
      <c r="U162" s="834" t="s">
        <v>1495</v>
      </c>
      <c r="V162" s="834"/>
      <c r="W162" s="834"/>
      <c r="X162" s="834"/>
      <c r="Y162" s="834"/>
      <c r="Z162" s="834"/>
      <c r="AA162" s="834" t="s">
        <v>1496</v>
      </c>
      <c r="AB162" s="834"/>
      <c r="AC162" s="834"/>
      <c r="AD162" s="834"/>
      <c r="AE162" s="834"/>
      <c r="AF162" s="834"/>
      <c r="AG162" s="834" t="s">
        <v>1497</v>
      </c>
      <c r="AH162" s="834"/>
      <c r="AI162" s="834" t="s">
        <v>1498</v>
      </c>
      <c r="AJ162" s="834"/>
      <c r="AK162" s="834" t="s">
        <v>1499</v>
      </c>
      <c r="AL162" s="834"/>
      <c r="AM162" s="834"/>
      <c r="AN162" s="834"/>
      <c r="AO162" s="834"/>
      <c r="AP162" s="834"/>
      <c r="AQ162" s="834" t="s">
        <v>1500</v>
      </c>
      <c r="AR162" s="834"/>
      <c r="AS162" s="834"/>
      <c r="AT162" s="834"/>
      <c r="AU162" s="834"/>
      <c r="AV162" s="834"/>
      <c r="AW162" s="834" t="s">
        <v>1501</v>
      </c>
      <c r="AX162" s="834"/>
      <c r="AY162" s="834"/>
      <c r="AZ162" s="834"/>
      <c r="BA162" s="834"/>
      <c r="BB162" s="834"/>
      <c r="BC162" s="834" t="s">
        <v>1502</v>
      </c>
      <c r="BD162" s="834"/>
      <c r="BE162" s="834"/>
      <c r="BF162" s="834"/>
      <c r="BG162" s="834"/>
      <c r="BH162" s="834"/>
    </row>
    <row r="163" spans="1:60">
      <c r="A163" s="825"/>
      <c r="B163" s="825"/>
      <c r="C163" s="825"/>
      <c r="D163" s="826"/>
      <c r="E163" s="833" t="s">
        <v>1369</v>
      </c>
      <c r="F163" s="833"/>
      <c r="G163" s="833"/>
      <c r="H163" s="833"/>
      <c r="I163" s="845" t="s">
        <v>1503</v>
      </c>
      <c r="J163" s="845"/>
      <c r="K163" s="845"/>
      <c r="L163" s="845"/>
      <c r="M163" s="845"/>
      <c r="N163" s="845"/>
      <c r="O163" s="834" t="s">
        <v>1504</v>
      </c>
      <c r="P163" s="834"/>
      <c r="Q163" s="834"/>
      <c r="R163" s="834"/>
      <c r="S163" s="834"/>
      <c r="T163" s="834"/>
      <c r="U163" s="834" t="s">
        <v>1505</v>
      </c>
      <c r="V163" s="834"/>
      <c r="W163" s="834"/>
      <c r="X163" s="834"/>
      <c r="Y163" s="834"/>
      <c r="Z163" s="834"/>
      <c r="AA163" s="834" t="s">
        <v>1506</v>
      </c>
      <c r="AB163" s="834"/>
      <c r="AC163" s="834"/>
      <c r="AD163" s="834"/>
      <c r="AE163" s="834"/>
      <c r="AF163" s="834"/>
      <c r="AG163" s="834" t="s">
        <v>1507</v>
      </c>
      <c r="AH163" s="834"/>
      <c r="AI163" s="834" t="s">
        <v>1508</v>
      </c>
      <c r="AJ163" s="834"/>
      <c r="AK163" s="834" t="s">
        <v>1509</v>
      </c>
      <c r="AL163" s="834"/>
      <c r="AM163" s="834"/>
      <c r="AN163" s="834"/>
      <c r="AO163" s="834"/>
      <c r="AP163" s="834"/>
      <c r="AQ163" s="834" t="s">
        <v>1510</v>
      </c>
      <c r="AR163" s="834"/>
      <c r="AS163" s="834"/>
      <c r="AT163" s="834"/>
      <c r="AU163" s="834"/>
      <c r="AV163" s="834"/>
      <c r="AW163" s="834" t="s">
        <v>1511</v>
      </c>
      <c r="AX163" s="834"/>
      <c r="AY163" s="834"/>
      <c r="AZ163" s="834"/>
      <c r="BA163" s="834"/>
      <c r="BB163" s="834"/>
      <c r="BC163" s="834" t="s">
        <v>1512</v>
      </c>
      <c r="BD163" s="834"/>
      <c r="BE163" s="834"/>
      <c r="BF163" s="834"/>
      <c r="BG163" s="834"/>
      <c r="BH163" s="874"/>
    </row>
    <row r="164" spans="1:60">
      <c r="A164" s="825"/>
      <c r="B164" s="825"/>
      <c r="C164" s="825"/>
      <c r="D164" s="826"/>
      <c r="E164" s="833" t="s">
        <v>1380</v>
      </c>
      <c r="F164" s="833"/>
      <c r="G164" s="833"/>
      <c r="H164" s="833"/>
      <c r="I164" s="834" t="s">
        <v>1513</v>
      </c>
      <c r="J164" s="834"/>
      <c r="K164" s="834"/>
      <c r="L164" s="834"/>
      <c r="M164" s="834"/>
      <c r="N164" s="834"/>
      <c r="O164" s="845" t="s">
        <v>1514</v>
      </c>
      <c r="P164" s="845"/>
      <c r="Q164" s="845"/>
      <c r="R164" s="845"/>
      <c r="S164" s="845"/>
      <c r="T164" s="845"/>
      <c r="U164" s="845" t="s">
        <v>1515</v>
      </c>
      <c r="V164" s="845"/>
      <c r="W164" s="845"/>
      <c r="X164" s="845"/>
      <c r="Y164" s="845"/>
      <c r="Z164" s="845"/>
      <c r="AA164" s="834" t="s">
        <v>1516</v>
      </c>
      <c r="AB164" s="834"/>
      <c r="AC164" s="834"/>
      <c r="AD164" s="834"/>
      <c r="AE164" s="834"/>
      <c r="AF164" s="834"/>
      <c r="AG164" s="834" t="s">
        <v>1517</v>
      </c>
      <c r="AH164" s="834"/>
      <c r="AI164" s="834" t="s">
        <v>1518</v>
      </c>
      <c r="AJ164" s="834"/>
      <c r="AK164" s="845" t="s">
        <v>1519</v>
      </c>
      <c r="AL164" s="845"/>
      <c r="AM164" s="845"/>
      <c r="AN164" s="845"/>
      <c r="AO164" s="845"/>
      <c r="AP164" s="845"/>
      <c r="AQ164" s="834" t="s">
        <v>1520</v>
      </c>
      <c r="AR164" s="834"/>
      <c r="AS164" s="834"/>
      <c r="AT164" s="834"/>
      <c r="AU164" s="834"/>
      <c r="AV164" s="834"/>
      <c r="AW164" s="845" t="s">
        <v>1521</v>
      </c>
      <c r="AX164" s="845"/>
      <c r="AY164" s="845"/>
      <c r="AZ164" s="845"/>
      <c r="BA164" s="845"/>
      <c r="BB164" s="845"/>
      <c r="BC164" s="834" t="s">
        <v>1522</v>
      </c>
      <c r="BD164" s="834"/>
      <c r="BE164" s="834"/>
      <c r="BF164" s="834"/>
      <c r="BG164" s="834"/>
      <c r="BH164" s="834"/>
    </row>
    <row r="165" spans="1:60">
      <c r="A165" s="825"/>
      <c r="B165" s="825"/>
      <c r="C165" s="825"/>
      <c r="D165" s="826"/>
      <c r="E165" s="833" t="s">
        <v>1391</v>
      </c>
      <c r="F165" s="833"/>
      <c r="G165" s="833"/>
      <c r="H165" s="833"/>
      <c r="I165" s="845" t="s">
        <v>1523</v>
      </c>
      <c r="J165" s="845"/>
      <c r="K165" s="845"/>
      <c r="L165" s="845"/>
      <c r="M165" s="845"/>
      <c r="N165" s="845"/>
      <c r="O165" s="845" t="s">
        <v>1524</v>
      </c>
      <c r="P165" s="845"/>
      <c r="Q165" s="845"/>
      <c r="R165" s="845"/>
      <c r="S165" s="845"/>
      <c r="T165" s="845"/>
      <c r="U165" s="834" t="s">
        <v>1525</v>
      </c>
      <c r="V165" s="834"/>
      <c r="W165" s="834"/>
      <c r="X165" s="834"/>
      <c r="Y165" s="834"/>
      <c r="Z165" s="834"/>
      <c r="AA165" s="834" t="s">
        <v>1526</v>
      </c>
      <c r="AB165" s="834"/>
      <c r="AC165" s="834"/>
      <c r="AD165" s="834"/>
      <c r="AE165" s="834"/>
      <c r="AF165" s="834"/>
      <c r="AG165" s="834" t="s">
        <v>1527</v>
      </c>
      <c r="AH165" s="834"/>
      <c r="AI165" s="834" t="s">
        <v>1528</v>
      </c>
      <c r="AJ165" s="834"/>
      <c r="AK165" s="834" t="s">
        <v>1529</v>
      </c>
      <c r="AL165" s="834"/>
      <c r="AM165" s="834"/>
      <c r="AN165" s="834"/>
      <c r="AO165" s="834"/>
      <c r="AP165" s="834"/>
      <c r="AQ165" s="834" t="s">
        <v>1530</v>
      </c>
      <c r="AR165" s="834"/>
      <c r="AS165" s="834"/>
      <c r="AT165" s="834"/>
      <c r="AU165" s="834"/>
      <c r="AV165" s="834"/>
      <c r="AW165" s="834" t="s">
        <v>1531</v>
      </c>
      <c r="AX165" s="834"/>
      <c r="AY165" s="834"/>
      <c r="AZ165" s="834"/>
      <c r="BA165" s="834"/>
      <c r="BB165" s="834"/>
      <c r="BC165" s="834" t="s">
        <v>1532</v>
      </c>
      <c r="BD165" s="834"/>
      <c r="BE165" s="834"/>
      <c r="BF165" s="834"/>
      <c r="BG165" s="834"/>
      <c r="BH165" s="874"/>
    </row>
    <row r="166" spans="1:60">
      <c r="A166" s="825"/>
      <c r="B166" s="825"/>
      <c r="C166" s="825"/>
      <c r="D166" s="826"/>
      <c r="E166" s="833" t="s">
        <v>1402</v>
      </c>
      <c r="F166" s="833"/>
      <c r="G166" s="833"/>
      <c r="H166" s="833"/>
      <c r="I166" s="834" t="s">
        <v>1533</v>
      </c>
      <c r="J166" s="834"/>
      <c r="K166" s="834"/>
      <c r="L166" s="834"/>
      <c r="M166" s="834"/>
      <c r="N166" s="834"/>
      <c r="O166" s="845" t="s">
        <v>1534</v>
      </c>
      <c r="P166" s="845"/>
      <c r="Q166" s="845"/>
      <c r="R166" s="845"/>
      <c r="S166" s="845"/>
      <c r="T166" s="845"/>
      <c r="U166" s="834" t="s">
        <v>1535</v>
      </c>
      <c r="V166" s="834"/>
      <c r="W166" s="834"/>
      <c r="X166" s="834"/>
      <c r="Y166" s="834"/>
      <c r="Z166" s="834"/>
      <c r="AA166" s="834" t="s">
        <v>1536</v>
      </c>
      <c r="AB166" s="834"/>
      <c r="AC166" s="834"/>
      <c r="AD166" s="834"/>
      <c r="AE166" s="834"/>
      <c r="AF166" s="834"/>
      <c r="AG166" s="834" t="s">
        <v>1537</v>
      </c>
      <c r="AH166" s="834"/>
      <c r="AI166" s="834" t="s">
        <v>1538</v>
      </c>
      <c r="AJ166" s="834"/>
      <c r="AK166" s="834" t="s">
        <v>1539</v>
      </c>
      <c r="AL166" s="834"/>
      <c r="AM166" s="834"/>
      <c r="AN166" s="834"/>
      <c r="AO166" s="834"/>
      <c r="AP166" s="834"/>
      <c r="AQ166" s="834" t="s">
        <v>1540</v>
      </c>
      <c r="AR166" s="834"/>
      <c r="AS166" s="834"/>
      <c r="AT166" s="834"/>
      <c r="AU166" s="834"/>
      <c r="AV166" s="834"/>
      <c r="AW166" s="834" t="s">
        <v>1541</v>
      </c>
      <c r="AX166" s="834"/>
      <c r="AY166" s="834"/>
      <c r="AZ166" s="834"/>
      <c r="BA166" s="834"/>
      <c r="BB166" s="834"/>
      <c r="BC166" s="834" t="s">
        <v>1542</v>
      </c>
      <c r="BD166" s="834"/>
      <c r="BE166" s="834"/>
      <c r="BF166" s="834"/>
      <c r="BG166" s="834"/>
      <c r="BH166" s="834"/>
    </row>
    <row r="167" spans="1:60">
      <c r="A167" s="825"/>
      <c r="B167" s="825"/>
      <c r="C167" s="825"/>
      <c r="D167" s="826"/>
      <c r="E167" s="833" t="s">
        <v>1413</v>
      </c>
      <c r="F167" s="833"/>
      <c r="G167" s="833"/>
      <c r="H167" s="833"/>
      <c r="I167" s="845" t="s">
        <v>1543</v>
      </c>
      <c r="J167" s="845"/>
      <c r="K167" s="845"/>
      <c r="L167" s="845"/>
      <c r="M167" s="845"/>
      <c r="N167" s="845"/>
      <c r="O167" s="834" t="s">
        <v>1544</v>
      </c>
      <c r="P167" s="834"/>
      <c r="Q167" s="834"/>
      <c r="R167" s="834"/>
      <c r="S167" s="834"/>
      <c r="T167" s="834"/>
      <c r="U167" s="834" t="s">
        <v>1545</v>
      </c>
      <c r="V167" s="834"/>
      <c r="W167" s="834"/>
      <c r="X167" s="834"/>
      <c r="Y167" s="834"/>
      <c r="Z167" s="834"/>
      <c r="AA167" s="834" t="s">
        <v>1546</v>
      </c>
      <c r="AB167" s="834"/>
      <c r="AC167" s="834"/>
      <c r="AD167" s="834"/>
      <c r="AE167" s="834"/>
      <c r="AF167" s="834"/>
      <c r="AG167" s="834" t="s">
        <v>1547</v>
      </c>
      <c r="AH167" s="834"/>
      <c r="AI167" s="834" t="s">
        <v>1548</v>
      </c>
      <c r="AJ167" s="834"/>
      <c r="AK167" s="834" t="s">
        <v>1549</v>
      </c>
      <c r="AL167" s="834"/>
      <c r="AM167" s="834"/>
      <c r="AN167" s="834"/>
      <c r="AO167" s="834"/>
      <c r="AP167" s="834"/>
      <c r="AQ167" s="834" t="s">
        <v>1550</v>
      </c>
      <c r="AR167" s="834"/>
      <c r="AS167" s="834"/>
      <c r="AT167" s="834"/>
      <c r="AU167" s="834"/>
      <c r="AV167" s="834"/>
      <c r="AW167" s="834" t="s">
        <v>1551</v>
      </c>
      <c r="AX167" s="834"/>
      <c r="AY167" s="834"/>
      <c r="AZ167" s="834"/>
      <c r="BA167" s="834"/>
      <c r="BB167" s="834"/>
      <c r="BC167" s="834" t="s">
        <v>1552</v>
      </c>
      <c r="BD167" s="834"/>
      <c r="BE167" s="834"/>
      <c r="BF167" s="834"/>
      <c r="BG167" s="834"/>
      <c r="BH167" s="874"/>
    </row>
    <row r="168" spans="1:60">
      <c r="A168" s="825"/>
      <c r="B168" s="825"/>
      <c r="C168" s="825"/>
      <c r="D168" s="826"/>
      <c r="E168" s="833" t="s">
        <v>1424</v>
      </c>
      <c r="F168" s="833"/>
      <c r="G168" s="833"/>
      <c r="H168" s="833"/>
      <c r="I168" s="834" t="s">
        <v>1553</v>
      </c>
      <c r="J168" s="834"/>
      <c r="K168" s="834"/>
      <c r="L168" s="834"/>
      <c r="M168" s="834"/>
      <c r="N168" s="834"/>
      <c r="O168" s="845" t="s">
        <v>1554</v>
      </c>
      <c r="P168" s="845"/>
      <c r="Q168" s="845"/>
      <c r="R168" s="845"/>
      <c r="S168" s="845"/>
      <c r="T168" s="845"/>
      <c r="U168" s="845" t="s">
        <v>1555</v>
      </c>
      <c r="V168" s="845"/>
      <c r="W168" s="845"/>
      <c r="X168" s="845"/>
      <c r="Y168" s="845"/>
      <c r="Z168" s="845"/>
      <c r="AA168" s="834" t="s">
        <v>1556</v>
      </c>
      <c r="AB168" s="834"/>
      <c r="AC168" s="834"/>
      <c r="AD168" s="834"/>
      <c r="AE168" s="834"/>
      <c r="AF168" s="834"/>
      <c r="AG168" s="834" t="s">
        <v>1557</v>
      </c>
      <c r="AH168" s="834"/>
      <c r="AI168" s="834" t="s">
        <v>1558</v>
      </c>
      <c r="AJ168" s="834"/>
      <c r="AK168" s="845" t="s">
        <v>1559</v>
      </c>
      <c r="AL168" s="845"/>
      <c r="AM168" s="845"/>
      <c r="AN168" s="845"/>
      <c r="AO168" s="845"/>
      <c r="AP168" s="845"/>
      <c r="AQ168" s="834" t="s">
        <v>1560</v>
      </c>
      <c r="AR168" s="834"/>
      <c r="AS168" s="834"/>
      <c r="AT168" s="834"/>
      <c r="AU168" s="834"/>
      <c r="AV168" s="834"/>
      <c r="AW168" s="845" t="s">
        <v>1561</v>
      </c>
      <c r="AX168" s="845"/>
      <c r="AY168" s="845"/>
      <c r="AZ168" s="845"/>
      <c r="BA168" s="845"/>
      <c r="BB168" s="845"/>
      <c r="BC168" s="834" t="s">
        <v>1562</v>
      </c>
      <c r="BD168" s="834"/>
      <c r="BE168" s="834"/>
      <c r="BF168" s="834"/>
      <c r="BG168" s="834"/>
      <c r="BH168" s="834"/>
    </row>
    <row r="169" spans="1:60">
      <c r="A169" s="825"/>
      <c r="B169" s="825"/>
      <c r="C169" s="825"/>
      <c r="D169" s="826"/>
      <c r="E169" s="833" t="s">
        <v>1435</v>
      </c>
      <c r="F169" s="833"/>
      <c r="G169" s="833"/>
      <c r="H169" s="833"/>
      <c r="I169" s="845" t="s">
        <v>1563</v>
      </c>
      <c r="J169" s="845"/>
      <c r="K169" s="845"/>
      <c r="L169" s="845"/>
      <c r="M169" s="845"/>
      <c r="N169" s="845"/>
      <c r="O169" s="845" t="s">
        <v>1564</v>
      </c>
      <c r="P169" s="845"/>
      <c r="Q169" s="845"/>
      <c r="R169" s="845"/>
      <c r="S169" s="845"/>
      <c r="T169" s="845"/>
      <c r="U169" s="834" t="s">
        <v>1565</v>
      </c>
      <c r="V169" s="834"/>
      <c r="W169" s="834"/>
      <c r="X169" s="834"/>
      <c r="Y169" s="834"/>
      <c r="Z169" s="834"/>
      <c r="AA169" s="834" t="s">
        <v>1566</v>
      </c>
      <c r="AB169" s="834"/>
      <c r="AC169" s="834"/>
      <c r="AD169" s="834"/>
      <c r="AE169" s="834"/>
      <c r="AF169" s="834"/>
      <c r="AG169" s="834" t="s">
        <v>1567</v>
      </c>
      <c r="AH169" s="834"/>
      <c r="AI169" s="834" t="s">
        <v>1568</v>
      </c>
      <c r="AJ169" s="834"/>
      <c r="AK169" s="834" t="s">
        <v>1569</v>
      </c>
      <c r="AL169" s="834"/>
      <c r="AM169" s="834"/>
      <c r="AN169" s="834"/>
      <c r="AO169" s="834"/>
      <c r="AP169" s="834"/>
      <c r="AQ169" s="834" t="s">
        <v>1570</v>
      </c>
      <c r="AR169" s="834"/>
      <c r="AS169" s="834"/>
      <c r="AT169" s="834"/>
      <c r="AU169" s="834"/>
      <c r="AV169" s="834"/>
      <c r="AW169" s="834" t="s">
        <v>1571</v>
      </c>
      <c r="AX169" s="834"/>
      <c r="AY169" s="834"/>
      <c r="AZ169" s="834"/>
      <c r="BA169" s="834"/>
      <c r="BB169" s="834"/>
      <c r="BC169" s="834" t="s">
        <v>1572</v>
      </c>
      <c r="BD169" s="834"/>
      <c r="BE169" s="834"/>
      <c r="BF169" s="834"/>
      <c r="BG169" s="834"/>
      <c r="BH169" s="874"/>
    </row>
    <row r="170" spans="1:60">
      <c r="A170" s="825"/>
      <c r="B170" s="825"/>
      <c r="C170" s="825"/>
      <c r="D170" s="826"/>
      <c r="E170" s="833" t="s">
        <v>1446</v>
      </c>
      <c r="F170" s="833"/>
      <c r="G170" s="833"/>
      <c r="H170" s="833"/>
      <c r="I170" s="834" t="s">
        <v>1573</v>
      </c>
      <c r="J170" s="834"/>
      <c r="K170" s="834"/>
      <c r="L170" s="834"/>
      <c r="M170" s="834"/>
      <c r="N170" s="834"/>
      <c r="O170" s="845" t="s">
        <v>1574</v>
      </c>
      <c r="P170" s="845"/>
      <c r="Q170" s="845"/>
      <c r="R170" s="845"/>
      <c r="S170" s="845"/>
      <c r="T170" s="845"/>
      <c r="U170" s="834" t="s">
        <v>1575</v>
      </c>
      <c r="V170" s="834"/>
      <c r="W170" s="834"/>
      <c r="X170" s="834"/>
      <c r="Y170" s="834"/>
      <c r="Z170" s="834"/>
      <c r="AA170" s="834" t="s">
        <v>1576</v>
      </c>
      <c r="AB170" s="834"/>
      <c r="AC170" s="834"/>
      <c r="AD170" s="834"/>
      <c r="AE170" s="834"/>
      <c r="AF170" s="834"/>
      <c r="AG170" s="834" t="s">
        <v>1577</v>
      </c>
      <c r="AH170" s="834"/>
      <c r="AI170" s="834" t="s">
        <v>1578</v>
      </c>
      <c r="AJ170" s="834"/>
      <c r="AK170" s="834" t="s">
        <v>1579</v>
      </c>
      <c r="AL170" s="834"/>
      <c r="AM170" s="834"/>
      <c r="AN170" s="834"/>
      <c r="AO170" s="834"/>
      <c r="AP170" s="834"/>
      <c r="AQ170" s="834" t="s">
        <v>1580</v>
      </c>
      <c r="AR170" s="834"/>
      <c r="AS170" s="834"/>
      <c r="AT170" s="834"/>
      <c r="AU170" s="834"/>
      <c r="AV170" s="834"/>
      <c r="AW170" s="834" t="s">
        <v>1581</v>
      </c>
      <c r="AX170" s="834"/>
      <c r="AY170" s="834"/>
      <c r="AZ170" s="834"/>
      <c r="BA170" s="834"/>
      <c r="BB170" s="834"/>
      <c r="BC170" s="834" t="s">
        <v>1582</v>
      </c>
      <c r="BD170" s="834"/>
      <c r="BE170" s="834"/>
      <c r="BF170" s="834"/>
      <c r="BG170" s="834"/>
      <c r="BH170" s="834"/>
    </row>
    <row r="171" spans="1:60">
      <c r="A171" s="825"/>
      <c r="B171" s="825"/>
      <c r="C171" s="825"/>
      <c r="D171" s="826"/>
      <c r="E171" s="833" t="s">
        <v>1457</v>
      </c>
      <c r="F171" s="833"/>
      <c r="G171" s="833"/>
      <c r="H171" s="833"/>
      <c r="I171" s="845" t="s">
        <v>1583</v>
      </c>
      <c r="J171" s="845"/>
      <c r="K171" s="845"/>
      <c r="L171" s="845"/>
      <c r="M171" s="845"/>
      <c r="N171" s="845"/>
      <c r="O171" s="834" t="s">
        <v>1584</v>
      </c>
      <c r="P171" s="834"/>
      <c r="Q171" s="834"/>
      <c r="R171" s="834"/>
      <c r="S171" s="834"/>
      <c r="T171" s="834"/>
      <c r="U171" s="834" t="s">
        <v>1585</v>
      </c>
      <c r="V171" s="834"/>
      <c r="W171" s="834"/>
      <c r="X171" s="834"/>
      <c r="Y171" s="834"/>
      <c r="Z171" s="834"/>
      <c r="AA171" s="834" t="s">
        <v>1586</v>
      </c>
      <c r="AB171" s="834"/>
      <c r="AC171" s="834"/>
      <c r="AD171" s="834"/>
      <c r="AE171" s="834"/>
      <c r="AF171" s="834"/>
      <c r="AG171" s="834" t="s">
        <v>1587</v>
      </c>
      <c r="AH171" s="834"/>
      <c r="AI171" s="834" t="s">
        <v>1588</v>
      </c>
      <c r="AJ171" s="834"/>
      <c r="AK171" s="834" t="s">
        <v>1589</v>
      </c>
      <c r="AL171" s="834"/>
      <c r="AM171" s="834"/>
      <c r="AN171" s="834"/>
      <c r="AO171" s="834"/>
      <c r="AP171" s="834"/>
      <c r="AQ171" s="834" t="s">
        <v>1590</v>
      </c>
      <c r="AR171" s="834"/>
      <c r="AS171" s="834"/>
      <c r="AT171" s="834"/>
      <c r="AU171" s="834"/>
      <c r="AV171" s="834"/>
      <c r="AW171" s="834" t="s">
        <v>1591</v>
      </c>
      <c r="AX171" s="834"/>
      <c r="AY171" s="834"/>
      <c r="AZ171" s="834"/>
      <c r="BA171" s="834"/>
      <c r="BB171" s="834"/>
      <c r="BC171" s="834" t="s">
        <v>1592</v>
      </c>
      <c r="BD171" s="834"/>
      <c r="BE171" s="834"/>
      <c r="BF171" s="834"/>
      <c r="BG171" s="834"/>
      <c r="BH171" s="874"/>
    </row>
    <row r="172" spans="1:60">
      <c r="A172" s="825"/>
      <c r="B172" s="825"/>
      <c r="C172" s="825"/>
      <c r="D172" s="826"/>
      <c r="E172" s="833" t="s">
        <v>1468</v>
      </c>
      <c r="F172" s="833"/>
      <c r="G172" s="833"/>
      <c r="H172" s="833"/>
      <c r="I172" s="834" t="s">
        <v>1593</v>
      </c>
      <c r="J172" s="834"/>
      <c r="K172" s="834"/>
      <c r="L172" s="834"/>
      <c r="M172" s="834"/>
      <c r="N172" s="834"/>
      <c r="O172" s="845" t="s">
        <v>1594</v>
      </c>
      <c r="P172" s="845"/>
      <c r="Q172" s="845"/>
      <c r="R172" s="845"/>
      <c r="S172" s="845"/>
      <c r="T172" s="845"/>
      <c r="U172" s="845" t="s">
        <v>1595</v>
      </c>
      <c r="V172" s="845"/>
      <c r="W172" s="845"/>
      <c r="X172" s="845"/>
      <c r="Y172" s="845"/>
      <c r="Z172" s="845"/>
      <c r="AA172" s="834" t="s">
        <v>1596</v>
      </c>
      <c r="AB172" s="834"/>
      <c r="AC172" s="834"/>
      <c r="AD172" s="834"/>
      <c r="AE172" s="834"/>
      <c r="AF172" s="834"/>
      <c r="AG172" s="834" t="s">
        <v>1597</v>
      </c>
      <c r="AH172" s="834"/>
      <c r="AI172" s="834" t="s">
        <v>1598</v>
      </c>
      <c r="AJ172" s="834"/>
      <c r="AK172" s="845" t="s">
        <v>1599</v>
      </c>
      <c r="AL172" s="845"/>
      <c r="AM172" s="845"/>
      <c r="AN172" s="845"/>
      <c r="AO172" s="845"/>
      <c r="AP172" s="845"/>
      <c r="AQ172" s="834" t="s">
        <v>1600</v>
      </c>
      <c r="AR172" s="834"/>
      <c r="AS172" s="834"/>
      <c r="AT172" s="834"/>
      <c r="AU172" s="834"/>
      <c r="AV172" s="834"/>
      <c r="AW172" s="845" t="s">
        <v>1601</v>
      </c>
      <c r="AX172" s="845"/>
      <c r="AY172" s="845"/>
      <c r="AZ172" s="845"/>
      <c r="BA172" s="845"/>
      <c r="BB172" s="845"/>
      <c r="BC172" s="834" t="s">
        <v>1602</v>
      </c>
      <c r="BD172" s="834"/>
      <c r="BE172" s="834"/>
      <c r="BF172" s="834"/>
      <c r="BG172" s="834"/>
      <c r="BH172" s="834"/>
    </row>
    <row r="173" spans="1:60">
      <c r="A173" s="825"/>
      <c r="B173" s="825"/>
      <c r="C173" s="825"/>
      <c r="D173" s="826"/>
      <c r="E173" s="833" t="s">
        <v>1479</v>
      </c>
      <c r="F173" s="833"/>
      <c r="G173" s="833"/>
      <c r="H173" s="833"/>
      <c r="I173" s="845" t="s">
        <v>1603</v>
      </c>
      <c r="J173" s="845"/>
      <c r="K173" s="845"/>
      <c r="L173" s="845"/>
      <c r="M173" s="845"/>
      <c r="N173" s="845"/>
      <c r="O173" s="845" t="s">
        <v>1604</v>
      </c>
      <c r="P173" s="845"/>
      <c r="Q173" s="845"/>
      <c r="R173" s="845"/>
      <c r="S173" s="845"/>
      <c r="T173" s="845"/>
      <c r="U173" s="834" t="s">
        <v>1605</v>
      </c>
      <c r="V173" s="834"/>
      <c r="W173" s="834"/>
      <c r="X173" s="834"/>
      <c r="Y173" s="834"/>
      <c r="Z173" s="834"/>
      <c r="AA173" s="834" t="s">
        <v>1606</v>
      </c>
      <c r="AB173" s="834"/>
      <c r="AC173" s="834"/>
      <c r="AD173" s="834"/>
      <c r="AE173" s="834"/>
      <c r="AF173" s="834"/>
      <c r="AG173" s="834" t="s">
        <v>1607</v>
      </c>
      <c r="AH173" s="834"/>
      <c r="AI173" s="834" t="s">
        <v>1608</v>
      </c>
      <c r="AJ173" s="834"/>
      <c r="AK173" s="834" t="s">
        <v>1609</v>
      </c>
      <c r="AL173" s="834"/>
      <c r="AM173" s="834"/>
      <c r="AN173" s="834"/>
      <c r="AO173" s="834"/>
      <c r="AP173" s="834"/>
      <c r="AQ173" s="834" t="s">
        <v>1610</v>
      </c>
      <c r="AR173" s="834"/>
      <c r="AS173" s="834"/>
      <c r="AT173" s="834"/>
      <c r="AU173" s="834"/>
      <c r="AV173" s="834"/>
      <c r="AW173" s="834" t="s">
        <v>1611</v>
      </c>
      <c r="AX173" s="834"/>
      <c r="AY173" s="834"/>
      <c r="AZ173" s="834"/>
      <c r="BA173" s="834"/>
      <c r="BB173" s="834"/>
      <c r="BC173" s="834" t="s">
        <v>1612</v>
      </c>
      <c r="BD173" s="834"/>
      <c r="BE173" s="834"/>
      <c r="BF173" s="834"/>
      <c r="BG173" s="834"/>
      <c r="BH173" s="874"/>
    </row>
    <row r="174" spans="1:60">
      <c r="A174" s="825"/>
      <c r="B174" s="825"/>
      <c r="C174" s="825"/>
      <c r="D174" s="826"/>
      <c r="E174" s="875" t="s">
        <v>1347</v>
      </c>
      <c r="F174" s="875"/>
      <c r="G174" s="875"/>
      <c r="H174" s="875"/>
      <c r="I174" s="888" t="s">
        <v>1613</v>
      </c>
      <c r="J174" s="888"/>
      <c r="K174" s="888"/>
      <c r="L174" s="888"/>
      <c r="M174" s="888"/>
      <c r="N174" s="888"/>
      <c r="O174" s="889" t="s">
        <v>1614</v>
      </c>
      <c r="P174" s="889"/>
      <c r="Q174" s="889"/>
      <c r="R174" s="889"/>
      <c r="S174" s="889"/>
      <c r="T174" s="889"/>
      <c r="U174" s="889" t="s">
        <v>1615</v>
      </c>
      <c r="V174" s="889"/>
      <c r="W174" s="889"/>
      <c r="X174" s="889"/>
      <c r="Y174" s="889"/>
      <c r="Z174" s="889"/>
      <c r="AA174" s="889" t="s">
        <v>1616</v>
      </c>
      <c r="AB174" s="889"/>
      <c r="AC174" s="889"/>
      <c r="AD174" s="889"/>
      <c r="AE174" s="889"/>
      <c r="AF174" s="889"/>
      <c r="AG174" s="889" t="s">
        <v>1617</v>
      </c>
      <c r="AH174" s="889"/>
      <c r="AI174" s="889" t="s">
        <v>1618</v>
      </c>
      <c r="AJ174" s="889"/>
      <c r="AK174" s="888" t="s">
        <v>1619</v>
      </c>
      <c r="AL174" s="888"/>
      <c r="AM174" s="888"/>
      <c r="AN174" s="888"/>
      <c r="AO174" s="888"/>
      <c r="AP174" s="888"/>
      <c r="AQ174" s="889" t="s">
        <v>1620</v>
      </c>
      <c r="AR174" s="889"/>
      <c r="AS174" s="889"/>
      <c r="AT174" s="889"/>
      <c r="AU174" s="889"/>
      <c r="AV174" s="889"/>
      <c r="AW174" s="889" t="s">
        <v>1621</v>
      </c>
      <c r="AX174" s="889"/>
      <c r="AY174" s="889"/>
      <c r="AZ174" s="889"/>
      <c r="BA174" s="889"/>
      <c r="BB174" s="889"/>
      <c r="BC174" s="889" t="s">
        <v>1622</v>
      </c>
      <c r="BD174" s="889"/>
      <c r="BE174" s="889"/>
      <c r="BF174" s="889"/>
      <c r="BG174" s="889"/>
      <c r="BH174" s="896"/>
    </row>
    <row r="175" spans="1:60">
      <c r="A175" s="825"/>
      <c r="B175" s="825"/>
      <c r="C175" s="825"/>
      <c r="D175" s="826"/>
      <c r="E175" s="833" t="s">
        <v>1623</v>
      </c>
      <c r="F175" s="833"/>
      <c r="G175" s="833"/>
      <c r="H175" s="833"/>
      <c r="I175" s="834" t="s">
        <v>1624</v>
      </c>
      <c r="J175" s="834"/>
      <c r="K175" s="834"/>
      <c r="L175" s="834"/>
      <c r="M175" s="834"/>
      <c r="N175" s="834"/>
      <c r="O175" s="845" t="s">
        <v>1625</v>
      </c>
      <c r="P175" s="845"/>
      <c r="Q175" s="845"/>
      <c r="R175" s="845"/>
      <c r="S175" s="845"/>
      <c r="T175" s="845"/>
      <c r="U175" s="845" t="s">
        <v>1626</v>
      </c>
      <c r="V175" s="845"/>
      <c r="W175" s="845"/>
      <c r="X175" s="845"/>
      <c r="Y175" s="845"/>
      <c r="Z175" s="845"/>
      <c r="AA175" s="834" t="s">
        <v>1627</v>
      </c>
      <c r="AB175" s="834"/>
      <c r="AC175" s="834"/>
      <c r="AD175" s="834"/>
      <c r="AE175" s="834"/>
      <c r="AF175" s="834"/>
      <c r="AG175" s="834" t="s">
        <v>1628</v>
      </c>
      <c r="AH175" s="834"/>
      <c r="AI175" s="834" t="s">
        <v>1629</v>
      </c>
      <c r="AJ175" s="834"/>
      <c r="AK175" s="834" t="s">
        <v>1630</v>
      </c>
      <c r="AL175" s="834"/>
      <c r="AM175" s="834"/>
      <c r="AN175" s="834"/>
      <c r="AO175" s="834"/>
      <c r="AP175" s="834"/>
      <c r="AQ175" s="845" t="s">
        <v>1631</v>
      </c>
      <c r="AR175" s="845"/>
      <c r="AS175" s="845"/>
      <c r="AT175" s="845"/>
      <c r="AU175" s="845"/>
      <c r="AV175" s="845"/>
      <c r="AW175" s="845" t="s">
        <v>1632</v>
      </c>
      <c r="AX175" s="845"/>
      <c r="AY175" s="845"/>
      <c r="AZ175" s="845"/>
      <c r="BA175" s="845"/>
      <c r="BB175" s="845"/>
      <c r="BC175" s="834" t="s">
        <v>1633</v>
      </c>
      <c r="BD175" s="834"/>
      <c r="BE175" s="834"/>
      <c r="BF175" s="834"/>
      <c r="BG175" s="834"/>
      <c r="BH175" s="834"/>
    </row>
    <row r="176" ht="17.25" spans="1:60">
      <c r="A176" s="876"/>
      <c r="B176" s="876"/>
      <c r="C176" s="876"/>
      <c r="D176" s="877"/>
      <c r="E176" s="833" t="s">
        <v>1634</v>
      </c>
      <c r="F176" s="833"/>
      <c r="G176" s="833"/>
      <c r="H176" s="833"/>
      <c r="I176" s="845" t="s">
        <v>1635</v>
      </c>
      <c r="J176" s="845"/>
      <c r="K176" s="845"/>
      <c r="L176" s="845"/>
      <c r="M176" s="845"/>
      <c r="N176" s="845"/>
      <c r="O176" s="845" t="s">
        <v>1636</v>
      </c>
      <c r="P176" s="845"/>
      <c r="Q176" s="845"/>
      <c r="R176" s="845"/>
      <c r="S176" s="845"/>
      <c r="T176" s="845"/>
      <c r="U176" s="834" t="s">
        <v>1637</v>
      </c>
      <c r="V176" s="834"/>
      <c r="W176" s="834"/>
      <c r="X176" s="834"/>
      <c r="Y176" s="834"/>
      <c r="Z176" s="834"/>
      <c r="AA176" s="892" t="s">
        <v>1638</v>
      </c>
      <c r="AB176" s="892"/>
      <c r="AC176" s="892"/>
      <c r="AD176" s="892"/>
      <c r="AE176" s="892"/>
      <c r="AF176" s="892"/>
      <c r="AG176" s="895" t="s">
        <v>1639</v>
      </c>
      <c r="AH176" s="895"/>
      <c r="AI176" s="895" t="s">
        <v>1640</v>
      </c>
      <c r="AJ176" s="895"/>
      <c r="AK176" s="845" t="s">
        <v>1641</v>
      </c>
      <c r="AL176" s="845"/>
      <c r="AM176" s="845"/>
      <c r="AN176" s="845"/>
      <c r="AO176" s="845"/>
      <c r="AP176" s="845"/>
      <c r="AQ176" s="845" t="s">
        <v>1642</v>
      </c>
      <c r="AR176" s="845"/>
      <c r="AS176" s="845"/>
      <c r="AT176" s="845"/>
      <c r="AU176" s="845"/>
      <c r="AV176" s="845"/>
      <c r="AW176" s="834" t="s">
        <v>1643</v>
      </c>
      <c r="AX176" s="834"/>
      <c r="AY176" s="834"/>
      <c r="AZ176" s="834"/>
      <c r="BA176" s="834"/>
      <c r="BB176" s="834"/>
      <c r="BC176" s="834" t="s">
        <v>1644</v>
      </c>
      <c r="BD176" s="834"/>
      <c r="BE176" s="834"/>
      <c r="BF176" s="834"/>
      <c r="BG176" s="834"/>
      <c r="BH176" s="874"/>
    </row>
    <row r="177" ht="15" spans="1:60">
      <c r="A177" s="818" t="s">
        <v>223</v>
      </c>
      <c r="B177" s="819"/>
      <c r="C177" s="819"/>
      <c r="D177" s="820"/>
      <c r="E177" s="878"/>
      <c r="F177" s="879"/>
      <c r="G177" s="879"/>
      <c r="H177" s="879"/>
      <c r="I177" s="879"/>
      <c r="J177" s="879"/>
      <c r="K177" s="879"/>
      <c r="L177" s="879"/>
      <c r="M177" s="879"/>
      <c r="N177" s="879"/>
      <c r="O177" s="879"/>
      <c r="P177" s="879"/>
      <c r="Q177" s="879"/>
      <c r="R177" s="879"/>
      <c r="S177" s="879"/>
      <c r="T177" s="879"/>
      <c r="U177" s="879"/>
      <c r="V177" s="879"/>
      <c r="W177" s="879"/>
      <c r="X177" s="879"/>
      <c r="Y177" s="879"/>
      <c r="Z177" s="879"/>
      <c r="AA177" s="882"/>
      <c r="AB177" s="882"/>
      <c r="AC177" s="882"/>
      <c r="AD177" s="882"/>
      <c r="AE177" s="882"/>
      <c r="AF177" s="882"/>
      <c r="AG177" s="882"/>
      <c r="AH177" s="882"/>
      <c r="AI177" s="882"/>
      <c r="AJ177" s="882"/>
      <c r="AK177" s="879"/>
      <c r="AL177" s="879"/>
      <c r="AM177" s="879"/>
      <c r="AN177" s="879"/>
      <c r="AO177" s="879"/>
      <c r="AP177" s="879"/>
      <c r="AQ177" s="879"/>
      <c r="AR177" s="879"/>
      <c r="AS177" s="879"/>
      <c r="AT177" s="879"/>
      <c r="AU177" s="879"/>
      <c r="AV177" s="879"/>
      <c r="AW177" s="879"/>
      <c r="AX177" s="879"/>
      <c r="AY177" s="879"/>
      <c r="AZ177" s="879"/>
      <c r="BA177" s="879"/>
      <c r="BB177" s="879"/>
      <c r="BC177" s="879"/>
      <c r="BD177" s="879"/>
      <c r="BE177" s="879"/>
      <c r="BF177" s="879"/>
      <c r="BG177" s="879"/>
      <c r="BH177" s="897"/>
    </row>
    <row r="178" ht="14.25" spans="1:60">
      <c r="A178" s="824"/>
      <c r="B178" s="880"/>
      <c r="C178" s="880"/>
      <c r="D178" s="826"/>
      <c r="E178" s="881"/>
      <c r="F178" s="882"/>
      <c r="G178" s="882"/>
      <c r="H178" s="882"/>
      <c r="I178" s="882"/>
      <c r="J178" s="882"/>
      <c r="K178" s="882"/>
      <c r="L178" s="882"/>
      <c r="M178" s="882"/>
      <c r="N178" s="882"/>
      <c r="O178" s="882"/>
      <c r="P178" s="882"/>
      <c r="Q178" s="882"/>
      <c r="R178" s="882"/>
      <c r="S178" s="882"/>
      <c r="T178" s="882"/>
      <c r="U178" s="882"/>
      <c r="V178" s="882"/>
      <c r="W178" s="882"/>
      <c r="X178" s="882"/>
      <c r="Y178" s="882"/>
      <c r="Z178" s="882"/>
      <c r="AA178" s="882"/>
      <c r="AB178" s="882"/>
      <c r="AC178" s="882"/>
      <c r="AD178" s="882"/>
      <c r="AE178" s="882"/>
      <c r="AF178" s="882"/>
      <c r="AG178" s="882"/>
      <c r="AH178" s="882"/>
      <c r="AI178" s="882"/>
      <c r="AJ178" s="882"/>
      <c r="AK178" s="882"/>
      <c r="AL178" s="882"/>
      <c r="AM178" s="882"/>
      <c r="AN178" s="882"/>
      <c r="AO178" s="882"/>
      <c r="AP178" s="882"/>
      <c r="AQ178" s="882"/>
      <c r="AR178" s="882"/>
      <c r="AS178" s="882"/>
      <c r="AT178" s="882"/>
      <c r="AU178" s="882"/>
      <c r="AV178" s="882"/>
      <c r="AW178" s="882"/>
      <c r="AX178" s="882"/>
      <c r="AY178" s="882"/>
      <c r="AZ178" s="882"/>
      <c r="BA178" s="882"/>
      <c r="BB178" s="882"/>
      <c r="BC178" s="882"/>
      <c r="BD178" s="882"/>
      <c r="BE178" s="882"/>
      <c r="BF178" s="882"/>
      <c r="BG178" s="882"/>
      <c r="BH178" s="898"/>
    </row>
    <row r="179" ht="17.25" spans="1:60">
      <c r="A179" s="883" t="str">
        <f>IF(目录!G2="中文",对照!Z121,IF(目录!G2="English",对照!AA121,对照!Z121))</f>
        <v>试模员:</v>
      </c>
      <c r="B179" s="884"/>
      <c r="C179" s="884"/>
      <c r="D179" s="884"/>
      <c r="E179" s="884"/>
      <c r="F179" s="885"/>
      <c r="G179" s="885"/>
      <c r="H179" s="885"/>
      <c r="I179" s="885"/>
      <c r="J179" s="885"/>
      <c r="K179" s="885"/>
      <c r="L179" s="885"/>
      <c r="M179" s="885"/>
      <c r="N179" s="885"/>
      <c r="O179" s="890" t="str">
        <f>IF(目录!G2="中文",对照!Z122,IF(目录!G2="English",对照!AA122,对照!Z122))</f>
        <v>日期:</v>
      </c>
      <c r="P179" s="890"/>
      <c r="Q179" s="890"/>
      <c r="R179" s="890"/>
      <c r="S179" s="890"/>
      <c r="T179" s="891"/>
      <c r="U179" s="891"/>
      <c r="V179" s="891"/>
      <c r="W179" s="891"/>
      <c r="X179" s="891"/>
      <c r="Y179" s="891"/>
      <c r="Z179" s="891"/>
      <c r="AA179" s="891"/>
      <c r="AB179" s="891"/>
      <c r="AC179" s="890" t="str">
        <f>IF(目录!G2="中文",对照!Z123,IF(目录!G2="English",对照!AA123,对照!Z123))</f>
        <v>审核:</v>
      </c>
      <c r="AD179" s="890"/>
      <c r="AE179" s="890"/>
      <c r="AF179" s="890"/>
      <c r="AG179" s="890"/>
      <c r="AH179" s="890"/>
      <c r="AI179" s="890"/>
      <c r="AJ179" s="890"/>
      <c r="AK179" s="885"/>
      <c r="AL179" s="885"/>
      <c r="AM179" s="885"/>
      <c r="AN179" s="885"/>
      <c r="AO179" s="885"/>
      <c r="AP179" s="885"/>
      <c r="AQ179" s="885"/>
      <c r="AR179" s="885"/>
      <c r="AS179" s="885"/>
      <c r="AT179" s="890" t="str">
        <f>IF(目录!G2="中文",对照!Z122,IF(目录!G2="English",对照!AA122,对照!Z122))</f>
        <v>日期:</v>
      </c>
      <c r="AU179" s="890"/>
      <c r="AV179" s="890"/>
      <c r="AW179" s="890"/>
      <c r="AX179" s="890"/>
      <c r="AY179" s="891"/>
      <c r="AZ179" s="891"/>
      <c r="BA179" s="891"/>
      <c r="BB179" s="891"/>
      <c r="BC179" s="891"/>
      <c r="BD179" s="891"/>
      <c r="BE179" s="891"/>
      <c r="BF179" s="891"/>
      <c r="BG179" s="891"/>
      <c r="BH179" s="899"/>
    </row>
    <row r="180" spans="1:60">
      <c r="A180" s="886"/>
      <c r="B180" s="886"/>
      <c r="C180" s="886"/>
      <c r="D180" s="886"/>
      <c r="E180" s="886"/>
      <c r="F180" s="886"/>
      <c r="G180" s="886"/>
      <c r="H180" s="886"/>
      <c r="I180" s="886"/>
      <c r="J180" s="886"/>
      <c r="K180" s="886"/>
      <c r="L180" s="886"/>
      <c r="M180" s="886"/>
      <c r="N180" s="886"/>
      <c r="O180" s="886"/>
      <c r="P180" s="886"/>
      <c r="Q180" s="886"/>
      <c r="R180" s="886"/>
      <c r="S180" s="886"/>
      <c r="T180" s="886"/>
      <c r="U180" s="886"/>
      <c r="V180" s="886"/>
      <c r="W180" s="886"/>
      <c r="X180" s="886"/>
      <c r="Y180" s="886"/>
      <c r="Z180" s="886"/>
      <c r="AA180" s="886"/>
      <c r="AB180" s="886"/>
      <c r="AC180" s="886"/>
      <c r="AD180" s="886"/>
      <c r="AE180" s="886"/>
      <c r="AF180" s="886"/>
      <c r="AG180" s="886"/>
      <c r="AH180" s="886"/>
      <c r="AI180" s="886"/>
      <c r="AJ180" s="886"/>
      <c r="AK180" s="886"/>
      <c r="AL180" s="886"/>
      <c r="AM180" s="886"/>
      <c r="AN180" s="886"/>
      <c r="AO180" s="886"/>
      <c r="AP180" s="886"/>
      <c r="AQ180" s="886"/>
      <c r="AR180" s="886"/>
      <c r="AS180" s="886"/>
      <c r="AT180" s="886"/>
      <c r="AU180" s="886"/>
      <c r="AV180" s="886"/>
      <c r="AW180" s="886"/>
      <c r="AX180" s="886"/>
      <c r="AY180" s="886"/>
      <c r="AZ180" s="886"/>
      <c r="BA180" s="886"/>
      <c r="BB180" s="886"/>
      <c r="BC180" s="886"/>
      <c r="BD180" s="886"/>
      <c r="BE180" s="886"/>
      <c r="BF180" s="886"/>
      <c r="BG180" s="900" t="s">
        <v>882</v>
      </c>
      <c r="BH180" s="886"/>
    </row>
  </sheetData>
  <mergeCells count="1525">
    <mergeCell ref="A1:BH1"/>
    <mergeCell ref="A2:BH2"/>
    <mergeCell ref="A3:BH3"/>
    <mergeCell ref="A4:H4"/>
    <mergeCell ref="I4:T4"/>
    <mergeCell ref="U4:AB4"/>
    <mergeCell ref="AC4:AN4"/>
    <mergeCell ref="AO4:AV4"/>
    <mergeCell ref="AW4:BH4"/>
    <mergeCell ref="A5:H5"/>
    <mergeCell ref="I5:P5"/>
    <mergeCell ref="Q5:T5"/>
    <mergeCell ref="U5:AB5"/>
    <mergeCell ref="AC5:AN5"/>
    <mergeCell ref="AO5:BH5"/>
    <mergeCell ref="A6:BH6"/>
    <mergeCell ref="A7:H7"/>
    <mergeCell ref="I7:P7"/>
    <mergeCell ref="Q7:T7"/>
    <mergeCell ref="U7:AB7"/>
    <mergeCell ref="AC7:AN7"/>
    <mergeCell ref="AO7:AV7"/>
    <mergeCell ref="AW7:BH7"/>
    <mergeCell ref="A8:H8"/>
    <mergeCell ref="I8:P8"/>
    <mergeCell ref="Q8:T8"/>
    <mergeCell ref="U8:AB8"/>
    <mergeCell ref="AC8:AJ8"/>
    <mergeCell ref="AK8:AN8"/>
    <mergeCell ref="AO8:BH8"/>
    <mergeCell ref="A9:H9"/>
    <mergeCell ref="I9:P9"/>
    <mergeCell ref="Q9:T9"/>
    <mergeCell ref="U9:AB9"/>
    <mergeCell ref="AC9:AJ9"/>
    <mergeCell ref="AK9:AN9"/>
    <mergeCell ref="AO9:AV9"/>
    <mergeCell ref="AW9:BH9"/>
    <mergeCell ref="A10:P10"/>
    <mergeCell ref="Q10:X10"/>
    <mergeCell ref="Y10:AD10"/>
    <mergeCell ref="AE10:AT10"/>
    <mergeCell ref="AU10:BB10"/>
    <mergeCell ref="BC10:BH10"/>
    <mergeCell ref="A11:H11"/>
    <mergeCell ref="I11:P11"/>
    <mergeCell ref="Q11:T11"/>
    <mergeCell ref="U11:AB11"/>
    <mergeCell ref="AC11:AJ11"/>
    <mergeCell ref="AK11:AN11"/>
    <mergeCell ref="AO11:AV11"/>
    <mergeCell ref="AW11:BD11"/>
    <mergeCell ref="BE11:BH11"/>
    <mergeCell ref="A12:H12"/>
    <mergeCell ref="I12:P12"/>
    <mergeCell ref="Q12:V12"/>
    <mergeCell ref="W12:AH12"/>
    <mergeCell ref="AI12:AN12"/>
    <mergeCell ref="AO12:BB12"/>
    <mergeCell ref="BC12:BH12"/>
    <mergeCell ref="A13:BH13"/>
    <mergeCell ref="A14:O14"/>
    <mergeCell ref="P14:T14"/>
    <mergeCell ref="U14:Y14"/>
    <mergeCell ref="Z14:AI14"/>
    <mergeCell ref="AJ14:AN14"/>
    <mergeCell ref="AO14:BH14"/>
    <mergeCell ref="A15:J15"/>
    <mergeCell ref="K15:O15"/>
    <mergeCell ref="P15:T15"/>
    <mergeCell ref="U15:Y15"/>
    <mergeCell ref="Z15:AD15"/>
    <mergeCell ref="AE15:AI15"/>
    <mergeCell ref="AJ15:AN15"/>
    <mergeCell ref="AO15:AS15"/>
    <mergeCell ref="AT15:AX15"/>
    <mergeCell ref="AY15:BC15"/>
    <mergeCell ref="BD15:BH15"/>
    <mergeCell ref="A16:J16"/>
    <mergeCell ref="K16:O16"/>
    <mergeCell ref="P16:T16"/>
    <mergeCell ref="U16:Y16"/>
    <mergeCell ref="Z16:AD16"/>
    <mergeCell ref="AE16:AI16"/>
    <mergeCell ref="AJ16:AN16"/>
    <mergeCell ref="AO16:AS16"/>
    <mergeCell ref="AT16:AX16"/>
    <mergeCell ref="AY16:BC16"/>
    <mergeCell ref="BD16:BH16"/>
    <mergeCell ref="A17:E17"/>
    <mergeCell ref="F17:J17"/>
    <mergeCell ref="K17:O17"/>
    <mergeCell ref="P17:T17"/>
    <mergeCell ref="U17:Y17"/>
    <mergeCell ref="Z17:AD17"/>
    <mergeCell ref="AE17:AI17"/>
    <mergeCell ref="AJ17:AN17"/>
    <mergeCell ref="AO17:AS17"/>
    <mergeCell ref="AT17:AX17"/>
    <mergeCell ref="AY17:BC17"/>
    <mergeCell ref="BD17:BH17"/>
    <mergeCell ref="A18:E18"/>
    <mergeCell ref="F18:J18"/>
    <mergeCell ref="K18:O18"/>
    <mergeCell ref="P18:T18"/>
    <mergeCell ref="U18:Y18"/>
    <mergeCell ref="Z18:AD18"/>
    <mergeCell ref="AE18:AI18"/>
    <mergeCell ref="AJ18:AN18"/>
    <mergeCell ref="AO18:AS18"/>
    <mergeCell ref="AT18:AX18"/>
    <mergeCell ref="AY18:BC18"/>
    <mergeCell ref="BD18:BH18"/>
    <mergeCell ref="A19:E19"/>
    <mergeCell ref="F19:J19"/>
    <mergeCell ref="K19:O19"/>
    <mergeCell ref="P19:T19"/>
    <mergeCell ref="U19:Y19"/>
    <mergeCell ref="Z19:AD19"/>
    <mergeCell ref="AE19:AI19"/>
    <mergeCell ref="AJ19:AN19"/>
    <mergeCell ref="AO19:AS19"/>
    <mergeCell ref="AT19:AX19"/>
    <mergeCell ref="AY19:BC19"/>
    <mergeCell ref="BD19:BH19"/>
    <mergeCell ref="A20:E20"/>
    <mergeCell ref="F20:J20"/>
    <mergeCell ref="K20:O20"/>
    <mergeCell ref="P20:T20"/>
    <mergeCell ref="U20:Y20"/>
    <mergeCell ref="Z20:AD20"/>
    <mergeCell ref="AE20:AI20"/>
    <mergeCell ref="AJ20:AN20"/>
    <mergeCell ref="AO20:AS20"/>
    <mergeCell ref="AT20:AX20"/>
    <mergeCell ref="AY20:BC20"/>
    <mergeCell ref="BD20:BH20"/>
    <mergeCell ref="A21:E21"/>
    <mergeCell ref="F21:J21"/>
    <mergeCell ref="K21:O21"/>
    <mergeCell ref="P21:T21"/>
    <mergeCell ref="U21:Y21"/>
    <mergeCell ref="Z21:AD21"/>
    <mergeCell ref="AE21:AI21"/>
    <mergeCell ref="AJ21:AN21"/>
    <mergeCell ref="AO21:AS21"/>
    <mergeCell ref="AT21:AX21"/>
    <mergeCell ref="AY21:BC21"/>
    <mergeCell ref="BD21:BH21"/>
    <mergeCell ref="A22:E22"/>
    <mergeCell ref="F22:J22"/>
    <mergeCell ref="K22:O22"/>
    <mergeCell ref="P22:T22"/>
    <mergeCell ref="U22:Y22"/>
    <mergeCell ref="Z22:AD22"/>
    <mergeCell ref="AE22:AI22"/>
    <mergeCell ref="AJ22:AN22"/>
    <mergeCell ref="AO22:AS22"/>
    <mergeCell ref="AT22:AX22"/>
    <mergeCell ref="AY22:BC22"/>
    <mergeCell ref="BD22:BH22"/>
    <mergeCell ref="A23:E23"/>
    <mergeCell ref="F23:J23"/>
    <mergeCell ref="K23:O23"/>
    <mergeCell ref="P23:T23"/>
    <mergeCell ref="U23:Y23"/>
    <mergeCell ref="Z23:AD23"/>
    <mergeCell ref="AE23:AI23"/>
    <mergeCell ref="AJ23:AN23"/>
    <mergeCell ref="AO23:AS23"/>
    <mergeCell ref="AT23:AX23"/>
    <mergeCell ref="AY23:BC23"/>
    <mergeCell ref="BD23:BH23"/>
    <mergeCell ref="A24:E24"/>
    <mergeCell ref="F24:J24"/>
    <mergeCell ref="K24:O24"/>
    <mergeCell ref="P24:T24"/>
    <mergeCell ref="U24:Y24"/>
    <mergeCell ref="Z24:AD24"/>
    <mergeCell ref="AE24:AI24"/>
    <mergeCell ref="AJ24:AN24"/>
    <mergeCell ref="AO24:AS24"/>
    <mergeCell ref="AT24:AX24"/>
    <mergeCell ref="AY24:BC24"/>
    <mergeCell ref="BD24:BH24"/>
    <mergeCell ref="A25:E25"/>
    <mergeCell ref="F25:J25"/>
    <mergeCell ref="K25:O25"/>
    <mergeCell ref="P25:T25"/>
    <mergeCell ref="U25:Y25"/>
    <mergeCell ref="Z25:AD25"/>
    <mergeCell ref="AE25:AI25"/>
    <mergeCell ref="AJ25:AN25"/>
    <mergeCell ref="AO25:AS25"/>
    <mergeCell ref="AT25:AX25"/>
    <mergeCell ref="AY25:BC25"/>
    <mergeCell ref="BD25:BH25"/>
    <mergeCell ref="A26:E26"/>
    <mergeCell ref="F26:J26"/>
    <mergeCell ref="K26:O26"/>
    <mergeCell ref="P26:T26"/>
    <mergeCell ref="U26:Y26"/>
    <mergeCell ref="Z26:AD26"/>
    <mergeCell ref="AE26:AI26"/>
    <mergeCell ref="AJ26:AN26"/>
    <mergeCell ref="AO26:AS26"/>
    <mergeCell ref="AT26:AX26"/>
    <mergeCell ref="AY26:BC26"/>
    <mergeCell ref="BD26:BH26"/>
    <mergeCell ref="A27:E27"/>
    <mergeCell ref="F27:J27"/>
    <mergeCell ref="K27:O27"/>
    <mergeCell ref="P27:T27"/>
    <mergeCell ref="U27:Y27"/>
    <mergeCell ref="Z27:AD27"/>
    <mergeCell ref="AE27:AI27"/>
    <mergeCell ref="AJ27:AN27"/>
    <mergeCell ref="AO27:AS27"/>
    <mergeCell ref="AT27:AX27"/>
    <mergeCell ref="AY27:BC27"/>
    <mergeCell ref="BD27:BH27"/>
    <mergeCell ref="A28:E28"/>
    <mergeCell ref="F28:J28"/>
    <mergeCell ref="K28:O28"/>
    <mergeCell ref="P28:T28"/>
    <mergeCell ref="U28:Y28"/>
    <mergeCell ref="Z28:AD28"/>
    <mergeCell ref="AE28:AI28"/>
    <mergeCell ref="AJ28:AN28"/>
    <mergeCell ref="AO28:AS28"/>
    <mergeCell ref="AT28:AX28"/>
    <mergeCell ref="AY28:BC28"/>
    <mergeCell ref="BD28:BH28"/>
    <mergeCell ref="A29:E29"/>
    <mergeCell ref="F29:J29"/>
    <mergeCell ref="K29:O29"/>
    <mergeCell ref="P29:T29"/>
    <mergeCell ref="U29:Y29"/>
    <mergeCell ref="Z29:AD29"/>
    <mergeCell ref="AE29:AI29"/>
    <mergeCell ref="AJ29:AN29"/>
    <mergeCell ref="AO29:AS29"/>
    <mergeCell ref="AT29:AX29"/>
    <mergeCell ref="AY29:BC29"/>
    <mergeCell ref="BD29:BH29"/>
    <mergeCell ref="A30:E30"/>
    <mergeCell ref="F30:J30"/>
    <mergeCell ref="K30:O30"/>
    <mergeCell ref="P30:T30"/>
    <mergeCell ref="U30:Y30"/>
    <mergeCell ref="Z30:AD30"/>
    <mergeCell ref="AE30:AI30"/>
    <mergeCell ref="AJ30:AN30"/>
    <mergeCell ref="AO30:AS30"/>
    <mergeCell ref="AT30:AX30"/>
    <mergeCell ref="AY30:BC30"/>
    <mergeCell ref="BD30:BH30"/>
    <mergeCell ref="A31:E31"/>
    <mergeCell ref="F31:J31"/>
    <mergeCell ref="K31:O31"/>
    <mergeCell ref="P31:T31"/>
    <mergeCell ref="U31:Y31"/>
    <mergeCell ref="Z31:AD31"/>
    <mergeCell ref="AE31:AI31"/>
    <mergeCell ref="AJ31:AN31"/>
    <mergeCell ref="AO31:AS31"/>
    <mergeCell ref="AT31:AX31"/>
    <mergeCell ref="AY31:BC31"/>
    <mergeCell ref="BD31:BH31"/>
    <mergeCell ref="A32:E32"/>
    <mergeCell ref="F32:J32"/>
    <mergeCell ref="K32:O32"/>
    <mergeCell ref="P32:T32"/>
    <mergeCell ref="U32:Y32"/>
    <mergeCell ref="Z32:AD32"/>
    <mergeCell ref="AE32:AI32"/>
    <mergeCell ref="AJ32:AN32"/>
    <mergeCell ref="AO32:AS32"/>
    <mergeCell ref="AT32:AX32"/>
    <mergeCell ref="AY32:BC32"/>
    <mergeCell ref="BD32:BH32"/>
    <mergeCell ref="A33:BH33"/>
    <mergeCell ref="A34:O34"/>
    <mergeCell ref="P34:T34"/>
    <mergeCell ref="U34:Y34"/>
    <mergeCell ref="Z34:BH34"/>
    <mergeCell ref="A35:O35"/>
    <mergeCell ref="A36:F36"/>
    <mergeCell ref="G36:O36"/>
    <mergeCell ref="AH36:AJ36"/>
    <mergeCell ref="AZ36:BB36"/>
    <mergeCell ref="A37:O37"/>
    <mergeCell ref="AD37:AL37"/>
    <mergeCell ref="AV37:BD37"/>
    <mergeCell ref="A38:F38"/>
    <mergeCell ref="G38:O38"/>
    <mergeCell ref="AH38:AJ38"/>
    <mergeCell ref="AZ38:BB38"/>
    <mergeCell ref="A39:O39"/>
    <mergeCell ref="AD39:AL39"/>
    <mergeCell ref="AV39:BD39"/>
    <mergeCell ref="A40:F40"/>
    <mergeCell ref="G40:O40"/>
    <mergeCell ref="AH40:AJ40"/>
    <mergeCell ref="AZ40:BB40"/>
    <mergeCell ref="A41:O41"/>
    <mergeCell ref="AD41:AL41"/>
    <mergeCell ref="AV41:BD41"/>
    <mergeCell ref="A42:BH42"/>
    <mergeCell ref="E49:O49"/>
    <mergeCell ref="P49:T49"/>
    <mergeCell ref="U49:Y49"/>
    <mergeCell ref="Z49:BH49"/>
    <mergeCell ref="G50:R50"/>
    <mergeCell ref="V50:X50"/>
    <mergeCell ref="Y50:AB50"/>
    <mergeCell ref="AC50:AF50"/>
    <mergeCell ref="AI50:AT50"/>
    <mergeCell ref="AX50:AZ50"/>
    <mergeCell ref="BA50:BD50"/>
    <mergeCell ref="BE50:BH50"/>
    <mergeCell ref="G51:R51"/>
    <mergeCell ref="V51:X51"/>
    <mergeCell ref="Y51:AB51"/>
    <mergeCell ref="AC51:AF51"/>
    <mergeCell ref="AI51:AT51"/>
    <mergeCell ref="AX51:AZ51"/>
    <mergeCell ref="BA51:BD51"/>
    <mergeCell ref="BE51:BH51"/>
    <mergeCell ref="E52:F52"/>
    <mergeCell ref="G52:R52"/>
    <mergeCell ref="S52:U52"/>
    <mergeCell ref="V52:X52"/>
    <mergeCell ref="Y52:AB52"/>
    <mergeCell ref="AC52:AF52"/>
    <mergeCell ref="AG52:AH52"/>
    <mergeCell ref="AI52:AT52"/>
    <mergeCell ref="AU52:AW52"/>
    <mergeCell ref="AX52:AZ52"/>
    <mergeCell ref="BA52:BD52"/>
    <mergeCell ref="BE52:BH52"/>
    <mergeCell ref="E53:F53"/>
    <mergeCell ref="G53:R53"/>
    <mergeCell ref="S53:U53"/>
    <mergeCell ref="V53:X53"/>
    <mergeCell ref="Y53:AB53"/>
    <mergeCell ref="AC53:AF53"/>
    <mergeCell ref="AG53:AH53"/>
    <mergeCell ref="AI53:AT53"/>
    <mergeCell ref="AU53:AW53"/>
    <mergeCell ref="AX53:AZ53"/>
    <mergeCell ref="BA53:BD53"/>
    <mergeCell ref="BE53:BH53"/>
    <mergeCell ref="E54:F54"/>
    <mergeCell ref="G54:R54"/>
    <mergeCell ref="S54:U54"/>
    <mergeCell ref="V54:X54"/>
    <mergeCell ref="Y54:AB54"/>
    <mergeCell ref="AC54:AF54"/>
    <mergeCell ref="AG54:AH54"/>
    <mergeCell ref="AI54:AT54"/>
    <mergeCell ref="AU54:AW54"/>
    <mergeCell ref="AX54:AZ54"/>
    <mergeCell ref="BA54:BD54"/>
    <mergeCell ref="BE54:BH54"/>
    <mergeCell ref="E55:F55"/>
    <mergeCell ref="G55:R55"/>
    <mergeCell ref="S55:U55"/>
    <mergeCell ref="V55:X55"/>
    <mergeCell ref="Y55:AB55"/>
    <mergeCell ref="AC55:AF55"/>
    <mergeCell ref="AG55:AH55"/>
    <mergeCell ref="AI55:AT55"/>
    <mergeCell ref="AU55:AW55"/>
    <mergeCell ref="AX55:AZ55"/>
    <mergeCell ref="BA55:BD55"/>
    <mergeCell ref="BE55:BH55"/>
    <mergeCell ref="E56:F56"/>
    <mergeCell ref="G56:R56"/>
    <mergeCell ref="S56:U56"/>
    <mergeCell ref="V56:X56"/>
    <mergeCell ref="Y56:AB56"/>
    <mergeCell ref="AC56:AF56"/>
    <mergeCell ref="AG56:AH56"/>
    <mergeCell ref="AI56:AT56"/>
    <mergeCell ref="AU56:AW56"/>
    <mergeCell ref="AX56:AZ56"/>
    <mergeCell ref="BA56:BD56"/>
    <mergeCell ref="BE56:BH56"/>
    <mergeCell ref="E57:F57"/>
    <mergeCell ref="G57:R57"/>
    <mergeCell ref="S57:U57"/>
    <mergeCell ref="V57:X57"/>
    <mergeCell ref="Y57:AB57"/>
    <mergeCell ref="AC57:AF57"/>
    <mergeCell ref="AG57:AH57"/>
    <mergeCell ref="AI57:AT57"/>
    <mergeCell ref="AU57:AW57"/>
    <mergeCell ref="AX57:AZ57"/>
    <mergeCell ref="BA57:BD57"/>
    <mergeCell ref="BE57:BH57"/>
    <mergeCell ref="A58:BH58"/>
    <mergeCell ref="A59:AF59"/>
    <mergeCell ref="AG59:BH59"/>
    <mergeCell ref="A60:D60"/>
    <mergeCell ref="E60:H60"/>
    <mergeCell ref="I60:L60"/>
    <mergeCell ref="M60:P60"/>
    <mergeCell ref="Q60:T60"/>
    <mergeCell ref="U60:X60"/>
    <mergeCell ref="Y60:AB60"/>
    <mergeCell ref="AC60:AF60"/>
    <mergeCell ref="AG60:AL60"/>
    <mergeCell ref="AM60:AR60"/>
    <mergeCell ref="AS60:AV60"/>
    <mergeCell ref="AW60:AZ60"/>
    <mergeCell ref="BA60:BD60"/>
    <mergeCell ref="BE60:BH60"/>
    <mergeCell ref="A61:D61"/>
    <mergeCell ref="E61:H61"/>
    <mergeCell ref="I61:L61"/>
    <mergeCell ref="M61:P61"/>
    <mergeCell ref="Q61:T61"/>
    <mergeCell ref="U61:X61"/>
    <mergeCell ref="Y61:AB61"/>
    <mergeCell ref="AC61:AF61"/>
    <mergeCell ref="AG61:AL61"/>
    <mergeCell ref="AM61:AR61"/>
    <mergeCell ref="AS61:AV61"/>
    <mergeCell ref="AW61:AZ61"/>
    <mergeCell ref="BA61:BD61"/>
    <mergeCell ref="BE61:BH61"/>
    <mergeCell ref="A62:D62"/>
    <mergeCell ref="E62:H62"/>
    <mergeCell ref="I62:L62"/>
    <mergeCell ref="M62:P62"/>
    <mergeCell ref="Q62:T62"/>
    <mergeCell ref="U62:X62"/>
    <mergeCell ref="Y62:AB62"/>
    <mergeCell ref="AC62:AF62"/>
    <mergeCell ref="AG62:AL62"/>
    <mergeCell ref="AM62:AR62"/>
    <mergeCell ref="AS62:AV62"/>
    <mergeCell ref="AW62:AZ62"/>
    <mergeCell ref="BA62:BD62"/>
    <mergeCell ref="BE62:BH62"/>
    <mergeCell ref="A63:D63"/>
    <mergeCell ref="E63:H63"/>
    <mergeCell ref="I63:L63"/>
    <mergeCell ref="M63:P63"/>
    <mergeCell ref="Q63:T63"/>
    <mergeCell ref="U63:X63"/>
    <mergeCell ref="Y63:AB63"/>
    <mergeCell ref="AC63:AF63"/>
    <mergeCell ref="AG63:AL63"/>
    <mergeCell ref="AM63:AR63"/>
    <mergeCell ref="AS63:AV63"/>
    <mergeCell ref="AW63:AZ63"/>
    <mergeCell ref="BA63:BD63"/>
    <mergeCell ref="BE63:BH63"/>
    <mergeCell ref="A64:F64"/>
    <mergeCell ref="G64:M64"/>
    <mergeCell ref="N64:P64"/>
    <mergeCell ref="Q64:V64"/>
    <mergeCell ref="W64:AC64"/>
    <mergeCell ref="AD64:AF64"/>
    <mergeCell ref="AG64:AL64"/>
    <mergeCell ref="AM64:AR64"/>
    <mergeCell ref="AS64:AV64"/>
    <mergeCell ref="AW64:AZ64"/>
    <mergeCell ref="BA64:BD64"/>
    <mergeCell ref="BE64:BH64"/>
    <mergeCell ref="A65:F65"/>
    <mergeCell ref="G65:M65"/>
    <mergeCell ref="N65:P65"/>
    <mergeCell ref="Q65:AF65"/>
    <mergeCell ref="AG65:BH65"/>
    <mergeCell ref="A66:AF66"/>
    <mergeCell ref="AG66:AS66"/>
    <mergeCell ref="AT66:BH66"/>
    <mergeCell ref="A67:F67"/>
    <mergeCell ref="G67:P67"/>
    <mergeCell ref="Q67:V67"/>
    <mergeCell ref="W67:AC67"/>
    <mergeCell ref="AD67:AF67"/>
    <mergeCell ref="AG67:AS67"/>
    <mergeCell ref="AT67:BH67"/>
    <mergeCell ref="A68:F68"/>
    <mergeCell ref="G68:M68"/>
    <mergeCell ref="N68:P68"/>
    <mergeCell ref="Q68:V68"/>
    <mergeCell ref="W68:AC68"/>
    <mergeCell ref="AD68:AF68"/>
    <mergeCell ref="AG68:AN68"/>
    <mergeCell ref="AO68:AS68"/>
    <mergeCell ref="AT68:AX68"/>
    <mergeCell ref="AY68:BC68"/>
    <mergeCell ref="BD68:BH68"/>
    <mergeCell ref="A69:F69"/>
    <mergeCell ref="G69:M69"/>
    <mergeCell ref="N69:P69"/>
    <mergeCell ref="Q69:AF69"/>
    <mergeCell ref="AG69:AN69"/>
    <mergeCell ref="AO69:AS69"/>
    <mergeCell ref="AT69:AX69"/>
    <mergeCell ref="AY69:BC69"/>
    <mergeCell ref="BD69:BH69"/>
    <mergeCell ref="A70:AF70"/>
    <mergeCell ref="AG70:AN70"/>
    <mergeCell ref="AO70:AS70"/>
    <mergeCell ref="AT70:AX70"/>
    <mergeCell ref="AY70:BC70"/>
    <mergeCell ref="BD70:BH70"/>
    <mergeCell ref="A71:D71"/>
    <mergeCell ref="E71:H71"/>
    <mergeCell ref="I71:L71"/>
    <mergeCell ref="M71:Q71"/>
    <mergeCell ref="R71:V71"/>
    <mergeCell ref="W71:AA71"/>
    <mergeCell ref="AB71:AF71"/>
    <mergeCell ref="AG71:AN71"/>
    <mergeCell ref="AO71:AS71"/>
    <mergeCell ref="AT71:AX71"/>
    <mergeCell ref="AY71:BC71"/>
    <mergeCell ref="BD71:BH71"/>
    <mergeCell ref="A72:D72"/>
    <mergeCell ref="E72:H72"/>
    <mergeCell ref="I72:L72"/>
    <mergeCell ref="M72:Q72"/>
    <mergeCell ref="R72:V72"/>
    <mergeCell ref="W72:AA72"/>
    <mergeCell ref="AB72:AF72"/>
    <mergeCell ref="AG72:AS72"/>
    <mergeCell ref="AT72:BE72"/>
    <mergeCell ref="BF72:BH72"/>
    <mergeCell ref="A73:D73"/>
    <mergeCell ref="E73:H73"/>
    <mergeCell ref="I73:L73"/>
    <mergeCell ref="M73:Q73"/>
    <mergeCell ref="R73:V73"/>
    <mergeCell ref="W73:AA73"/>
    <mergeCell ref="AB73:AF73"/>
    <mergeCell ref="AG73:AS73"/>
    <mergeCell ref="AT73:BE73"/>
    <mergeCell ref="BF73:BH73"/>
    <mergeCell ref="A74:D74"/>
    <mergeCell ref="E74:H74"/>
    <mergeCell ref="I74:L74"/>
    <mergeCell ref="M74:Q74"/>
    <mergeCell ref="R74:V74"/>
    <mergeCell ref="W74:AA74"/>
    <mergeCell ref="AB74:AF74"/>
    <mergeCell ref="AG74:BH74"/>
    <mergeCell ref="A75:BH75"/>
    <mergeCell ref="A76:G76"/>
    <mergeCell ref="H76:K76"/>
    <mergeCell ref="L76:P76"/>
    <mergeCell ref="Q76:U76"/>
    <mergeCell ref="V76:Z76"/>
    <mergeCell ref="AA76:AE76"/>
    <mergeCell ref="AF76:AJ76"/>
    <mergeCell ref="AK76:AO76"/>
    <mergeCell ref="AP76:AT76"/>
    <mergeCell ref="AU76:AY76"/>
    <mergeCell ref="AZ76:BD76"/>
    <mergeCell ref="BE76:BH76"/>
    <mergeCell ref="A77:G77"/>
    <mergeCell ref="H77:K77"/>
    <mergeCell ref="L77:P77"/>
    <mergeCell ref="Q77:U77"/>
    <mergeCell ref="V77:Z77"/>
    <mergeCell ref="AA77:AE77"/>
    <mergeCell ref="AF77:AJ77"/>
    <mergeCell ref="AK77:AO77"/>
    <mergeCell ref="AP77:AT77"/>
    <mergeCell ref="AU77:AY77"/>
    <mergeCell ref="AZ77:BD77"/>
    <mergeCell ref="BE77:BH77"/>
    <mergeCell ref="A78:BH78"/>
    <mergeCell ref="A79:G79"/>
    <mergeCell ref="H79:P79"/>
    <mergeCell ref="Q79:T79"/>
    <mergeCell ref="U79:BH79"/>
    <mergeCell ref="A80:G80"/>
    <mergeCell ref="H80:P80"/>
    <mergeCell ref="Q80:T80"/>
    <mergeCell ref="U80:X80"/>
    <mergeCell ref="Y80:AB80"/>
    <mergeCell ref="AC80:AF80"/>
    <mergeCell ref="AG80:AJ80"/>
    <mergeCell ref="AK80:AN80"/>
    <mergeCell ref="AO80:AR80"/>
    <mergeCell ref="AS80:AV80"/>
    <mergeCell ref="AW80:AZ80"/>
    <mergeCell ref="BA80:BD80"/>
    <mergeCell ref="BE80:BH80"/>
    <mergeCell ref="A81:G81"/>
    <mergeCell ref="H81:P81"/>
    <mergeCell ref="Q81:T81"/>
    <mergeCell ref="U81:X81"/>
    <mergeCell ref="Y81:AB81"/>
    <mergeCell ref="AC81:AF81"/>
    <mergeCell ref="AG81:AJ81"/>
    <mergeCell ref="AK81:AN81"/>
    <mergeCell ref="AO81:AR81"/>
    <mergeCell ref="AS81:AV81"/>
    <mergeCell ref="AW81:AZ81"/>
    <mergeCell ref="BA81:BD81"/>
    <mergeCell ref="BE81:BH81"/>
    <mergeCell ref="A82:G82"/>
    <mergeCell ref="H82:P82"/>
    <mergeCell ref="Q82:T82"/>
    <mergeCell ref="U82:X82"/>
    <mergeCell ref="Y82:AB82"/>
    <mergeCell ref="AC82:AF82"/>
    <mergeCell ref="AG82:AJ82"/>
    <mergeCell ref="AK82:AN82"/>
    <mergeCell ref="AO82:AR82"/>
    <mergeCell ref="AS82:AV82"/>
    <mergeCell ref="AW82:AZ82"/>
    <mergeCell ref="BA82:BD82"/>
    <mergeCell ref="BE82:BH82"/>
    <mergeCell ref="A83:G83"/>
    <mergeCell ref="H83:P83"/>
    <mergeCell ref="Q83:T83"/>
    <mergeCell ref="U83:X83"/>
    <mergeCell ref="Y83:AB83"/>
    <mergeCell ref="AC83:AF83"/>
    <mergeCell ref="AG83:AJ83"/>
    <mergeCell ref="AK83:AN83"/>
    <mergeCell ref="AO83:AR83"/>
    <mergeCell ref="AS83:AV83"/>
    <mergeCell ref="AW83:AZ83"/>
    <mergeCell ref="BA83:BD83"/>
    <mergeCell ref="BE83:BH83"/>
    <mergeCell ref="A84:G84"/>
    <mergeCell ref="H84:T84"/>
    <mergeCell ref="U84:BH84"/>
    <mergeCell ref="A85:G85"/>
    <mergeCell ref="H85:P85"/>
    <mergeCell ref="Q85:T85"/>
    <mergeCell ref="U85:X85"/>
    <mergeCell ref="Y85:AB85"/>
    <mergeCell ref="AC85:AF85"/>
    <mergeCell ref="AG85:AJ85"/>
    <mergeCell ref="AK85:AN85"/>
    <mergeCell ref="AO85:AR85"/>
    <mergeCell ref="AS85:AV85"/>
    <mergeCell ref="AW85:AZ85"/>
    <mergeCell ref="BA85:BD85"/>
    <mergeCell ref="BE85:BH85"/>
    <mergeCell ref="A86:G86"/>
    <mergeCell ref="H86:P86"/>
    <mergeCell ref="Q86:T86"/>
    <mergeCell ref="U86:X86"/>
    <mergeCell ref="Y86:AB86"/>
    <mergeCell ref="AC86:AF86"/>
    <mergeCell ref="AG86:AJ86"/>
    <mergeCell ref="AK86:AN86"/>
    <mergeCell ref="AO86:AR86"/>
    <mergeCell ref="AS86:AV86"/>
    <mergeCell ref="AW86:AZ86"/>
    <mergeCell ref="BA86:BD86"/>
    <mergeCell ref="BE86:BH86"/>
    <mergeCell ref="A87:G87"/>
    <mergeCell ref="H87:I87"/>
    <mergeCell ref="J87:L87"/>
    <mergeCell ref="M87:N87"/>
    <mergeCell ref="O87:Q87"/>
    <mergeCell ref="R87:T87"/>
    <mergeCell ref="U87:X87"/>
    <mergeCell ref="Y87:AB87"/>
    <mergeCell ref="AC87:AF87"/>
    <mergeCell ref="AG87:AJ87"/>
    <mergeCell ref="AK87:AN87"/>
    <mergeCell ref="AO87:AR87"/>
    <mergeCell ref="AS87:AV87"/>
    <mergeCell ref="AW87:AZ87"/>
    <mergeCell ref="BA87:BD87"/>
    <mergeCell ref="BE87:BH87"/>
    <mergeCell ref="A88:G88"/>
    <mergeCell ref="H88:P88"/>
    <mergeCell ref="Q88:T88"/>
    <mergeCell ref="U88:X88"/>
    <mergeCell ref="Y88:AB88"/>
    <mergeCell ref="AC88:AF88"/>
    <mergeCell ref="AG88:AJ88"/>
    <mergeCell ref="AK88:AN88"/>
    <mergeCell ref="AO88:AR88"/>
    <mergeCell ref="AS88:AV88"/>
    <mergeCell ref="AW88:AZ88"/>
    <mergeCell ref="BA88:BD88"/>
    <mergeCell ref="BE88:BH88"/>
    <mergeCell ref="A89:G89"/>
    <mergeCell ref="H89:P89"/>
    <mergeCell ref="Q89:T89"/>
    <mergeCell ref="U89:BH89"/>
    <mergeCell ref="A90:BH90"/>
    <mergeCell ref="A91:G91"/>
    <mergeCell ref="H91:P91"/>
    <mergeCell ref="Q91:T91"/>
    <mergeCell ref="U91:BH91"/>
    <mergeCell ref="A92:G92"/>
    <mergeCell ref="H92:I92"/>
    <mergeCell ref="J92:L92"/>
    <mergeCell ref="M92:N92"/>
    <mergeCell ref="O92:Q92"/>
    <mergeCell ref="R92:T92"/>
    <mergeCell ref="U92:X92"/>
    <mergeCell ref="Y92:AB92"/>
    <mergeCell ref="AC92:AF92"/>
    <mergeCell ref="AG92:AJ92"/>
    <mergeCell ref="AK92:AN92"/>
    <mergeCell ref="AO92:AR92"/>
    <mergeCell ref="AS92:AV92"/>
    <mergeCell ref="AW92:AZ92"/>
    <mergeCell ref="BA92:BD92"/>
    <mergeCell ref="BE92:BH92"/>
    <mergeCell ref="A93:G93"/>
    <mergeCell ref="H93:I93"/>
    <mergeCell ref="J93:L93"/>
    <mergeCell ref="M93:N93"/>
    <mergeCell ref="O93:Q93"/>
    <mergeCell ref="R93:T93"/>
    <mergeCell ref="U93:X93"/>
    <mergeCell ref="Y93:AB93"/>
    <mergeCell ref="AC93:AF93"/>
    <mergeCell ref="AG93:AJ93"/>
    <mergeCell ref="AK93:AN93"/>
    <mergeCell ref="AO93:AR93"/>
    <mergeCell ref="AS93:AV93"/>
    <mergeCell ref="AW93:AZ93"/>
    <mergeCell ref="BA93:BD93"/>
    <mergeCell ref="BE93:BH93"/>
    <mergeCell ref="A94:G94"/>
    <mergeCell ref="H94:T94"/>
    <mergeCell ref="U94:X94"/>
    <mergeCell ref="Y94:AB94"/>
    <mergeCell ref="AC94:AF94"/>
    <mergeCell ref="AG94:AJ94"/>
    <mergeCell ref="AK94:AN94"/>
    <mergeCell ref="AO94:AR94"/>
    <mergeCell ref="AS94:AV94"/>
    <mergeCell ref="AW94:AZ94"/>
    <mergeCell ref="BA94:BD94"/>
    <mergeCell ref="BE94:BH94"/>
    <mergeCell ref="A95:G95"/>
    <mergeCell ref="H95:P95"/>
    <mergeCell ref="Q95:T95"/>
    <mergeCell ref="U95:X95"/>
    <mergeCell ref="Y95:AB95"/>
    <mergeCell ref="AC95:AF95"/>
    <mergeCell ref="AG95:AJ95"/>
    <mergeCell ref="AK95:AN95"/>
    <mergeCell ref="AO95:AR95"/>
    <mergeCell ref="AS95:AV95"/>
    <mergeCell ref="AW95:AZ95"/>
    <mergeCell ref="BA95:BD95"/>
    <mergeCell ref="BE95:BH95"/>
    <mergeCell ref="A96:G96"/>
    <mergeCell ref="H96:P96"/>
    <mergeCell ref="Q96:T96"/>
    <mergeCell ref="U96:BH96"/>
    <mergeCell ref="A97:G97"/>
    <mergeCell ref="H97:P97"/>
    <mergeCell ref="Q97:T97"/>
    <mergeCell ref="U97:X97"/>
    <mergeCell ref="Y97:AB97"/>
    <mergeCell ref="AC97:AF97"/>
    <mergeCell ref="AG97:AJ97"/>
    <mergeCell ref="AK97:AN97"/>
    <mergeCell ref="AO97:AR97"/>
    <mergeCell ref="AS97:AV97"/>
    <mergeCell ref="AW97:AZ97"/>
    <mergeCell ref="BA97:BD97"/>
    <mergeCell ref="BE97:BH97"/>
    <mergeCell ref="A98:G98"/>
    <mergeCell ref="H98:P98"/>
    <mergeCell ref="Q98:T98"/>
    <mergeCell ref="U98:X98"/>
    <mergeCell ref="Y98:AB98"/>
    <mergeCell ref="AC98:AF98"/>
    <mergeCell ref="AG98:AJ98"/>
    <mergeCell ref="AK98:AN98"/>
    <mergeCell ref="AO98:AR98"/>
    <mergeCell ref="AS98:AV98"/>
    <mergeCell ref="AW98:AZ98"/>
    <mergeCell ref="BA98:BD98"/>
    <mergeCell ref="BE98:BH98"/>
    <mergeCell ref="A99:G99"/>
    <mergeCell ref="H99:T99"/>
    <mergeCell ref="U99:X99"/>
    <mergeCell ref="Y99:AB99"/>
    <mergeCell ref="AC99:AF99"/>
    <mergeCell ref="AG99:AJ99"/>
    <mergeCell ref="AK99:AN99"/>
    <mergeCell ref="AO99:AR99"/>
    <mergeCell ref="AS99:AV99"/>
    <mergeCell ref="AW99:AZ99"/>
    <mergeCell ref="BA99:BD99"/>
    <mergeCell ref="BE99:BH99"/>
    <mergeCell ref="A100:G100"/>
    <mergeCell ref="H100:P100"/>
    <mergeCell ref="Q100:T100"/>
    <mergeCell ref="U100:X100"/>
    <mergeCell ref="Y100:AB100"/>
    <mergeCell ref="AC100:AF100"/>
    <mergeCell ref="AG100:AJ100"/>
    <mergeCell ref="AK100:AN100"/>
    <mergeCell ref="AO100:AR100"/>
    <mergeCell ref="AS100:AV100"/>
    <mergeCell ref="AW100:AZ100"/>
    <mergeCell ref="BA100:BD100"/>
    <mergeCell ref="BE100:BH100"/>
    <mergeCell ref="A101:BH101"/>
    <mergeCell ref="A102:G102"/>
    <mergeCell ref="H102:T102"/>
    <mergeCell ref="U102:BH102"/>
    <mergeCell ref="A103:D103"/>
    <mergeCell ref="E103:L103"/>
    <mergeCell ref="M103:T103"/>
    <mergeCell ref="U103:AB103"/>
    <mergeCell ref="AC103:AH103"/>
    <mergeCell ref="AI103:AJ103"/>
    <mergeCell ref="AK103:AP103"/>
    <mergeCell ref="AQ103:AR103"/>
    <mergeCell ref="AS103:AX103"/>
    <mergeCell ref="AY103:AZ103"/>
    <mergeCell ref="BA103:BF103"/>
    <mergeCell ref="BG103:BH103"/>
    <mergeCell ref="A104:D104"/>
    <mergeCell ref="E104:L104"/>
    <mergeCell ref="M104:T104"/>
    <mergeCell ref="U104:AB104"/>
    <mergeCell ref="AC104:AJ104"/>
    <mergeCell ref="AK104:AR104"/>
    <mergeCell ref="AS104:AZ104"/>
    <mergeCell ref="BA104:BH104"/>
    <mergeCell ref="A105:D105"/>
    <mergeCell ref="E105:L105"/>
    <mergeCell ref="M105:T105"/>
    <mergeCell ref="U105:AB105"/>
    <mergeCell ref="AC105:AJ105"/>
    <mergeCell ref="AK105:AR105"/>
    <mergeCell ref="AS105:AZ105"/>
    <mergeCell ref="BA105:BH105"/>
    <mergeCell ref="A106:BH106"/>
    <mergeCell ref="A107:H107"/>
    <mergeCell ref="I107:P107"/>
    <mergeCell ref="Q107:T107"/>
    <mergeCell ref="U107:AB107"/>
    <mergeCell ref="AC107:AJ107"/>
    <mergeCell ref="AK107:AN107"/>
    <mergeCell ref="AO107:AV107"/>
    <mergeCell ref="AW107:BD107"/>
    <mergeCell ref="BE107:BH107"/>
    <mergeCell ref="A108:H108"/>
    <mergeCell ref="I108:P108"/>
    <mergeCell ref="Q108:T108"/>
    <mergeCell ref="U108:AB108"/>
    <mergeCell ref="AC108:AJ108"/>
    <mergeCell ref="AK108:AN108"/>
    <mergeCell ref="AO108:BH108"/>
    <mergeCell ref="A109:BH109"/>
    <mergeCell ref="A110:H110"/>
    <mergeCell ref="I110:P110"/>
    <mergeCell ref="Q110:T110"/>
    <mergeCell ref="U110:AB110"/>
    <mergeCell ref="AC110:AJ110"/>
    <mergeCell ref="AK110:AN110"/>
    <mergeCell ref="AO110:AV110"/>
    <mergeCell ref="AW110:BD110"/>
    <mergeCell ref="BE110:BH110"/>
    <mergeCell ref="A111:H111"/>
    <mergeCell ref="I111:P111"/>
    <mergeCell ref="Q111:T111"/>
    <mergeCell ref="U111:AB111"/>
    <mergeCell ref="AC111:AJ111"/>
    <mergeCell ref="AK111:AN111"/>
    <mergeCell ref="AO111:BH111"/>
    <mergeCell ref="A112:BH112"/>
    <mergeCell ref="A113:H113"/>
    <mergeCell ref="I113:P113"/>
    <mergeCell ref="Q113:T113"/>
    <mergeCell ref="U113:AB113"/>
    <mergeCell ref="AC113:AJ113"/>
    <mergeCell ref="AK113:AN113"/>
    <mergeCell ref="AO113:AV113"/>
    <mergeCell ref="AW113:BD113"/>
    <mergeCell ref="BE113:BH113"/>
    <mergeCell ref="A114:H114"/>
    <mergeCell ref="I114:P114"/>
    <mergeCell ref="Q114:T114"/>
    <mergeCell ref="U114:AB114"/>
    <mergeCell ref="AC114:AJ114"/>
    <mergeCell ref="AK114:AN114"/>
    <mergeCell ref="AO114:AV114"/>
    <mergeCell ref="AW114:BD114"/>
    <mergeCell ref="BE114:BH114"/>
    <mergeCell ref="A115:BH115"/>
    <mergeCell ref="A116:H116"/>
    <mergeCell ref="I116:P116"/>
    <mergeCell ref="Q116:T116"/>
    <mergeCell ref="U116:AB116"/>
    <mergeCell ref="AC116:AJ116"/>
    <mergeCell ref="AK116:AN116"/>
    <mergeCell ref="AO116:AV116"/>
    <mergeCell ref="AW116:BD116"/>
    <mergeCell ref="BE116:BH116"/>
    <mergeCell ref="A117:BH117"/>
    <mergeCell ref="A118:H118"/>
    <mergeCell ref="I118:P118"/>
    <mergeCell ref="Q118:T118"/>
    <mergeCell ref="U118:AB118"/>
    <mergeCell ref="AC118:AJ118"/>
    <mergeCell ref="AK118:AN118"/>
    <mergeCell ref="AO118:AV118"/>
    <mergeCell ref="AW118:BD118"/>
    <mergeCell ref="BE118:BH118"/>
    <mergeCell ref="A119:H119"/>
    <mergeCell ref="I119:T119"/>
    <mergeCell ref="U119:AB119"/>
    <mergeCell ref="AC119:AJ119"/>
    <mergeCell ref="AK119:AN119"/>
    <mergeCell ref="AO119:AV119"/>
    <mergeCell ref="AW119:BD119"/>
    <mergeCell ref="BE119:BH119"/>
    <mergeCell ref="A120:H120"/>
    <mergeCell ref="I120:T120"/>
    <mergeCell ref="U120:AB120"/>
    <mergeCell ref="AC120:AJ120"/>
    <mergeCell ref="AK120:AN120"/>
    <mergeCell ref="AO120:AV120"/>
    <mergeCell ref="AW120:BH120"/>
    <mergeCell ref="I121:T121"/>
    <mergeCell ref="U121:AF121"/>
    <mergeCell ref="AK121:AV121"/>
    <mergeCell ref="AW121:BH121"/>
    <mergeCell ref="I122:N122"/>
    <mergeCell ref="O122:T122"/>
    <mergeCell ref="U122:Z122"/>
    <mergeCell ref="AA122:AF122"/>
    <mergeCell ref="AK122:AP122"/>
    <mergeCell ref="AQ122:AV122"/>
    <mergeCell ref="AW122:BB122"/>
    <mergeCell ref="BC122:BH122"/>
    <mergeCell ref="I123:N123"/>
    <mergeCell ref="O123:T123"/>
    <mergeCell ref="U123:Z123"/>
    <mergeCell ref="AA123:AF123"/>
    <mergeCell ref="AK123:AP123"/>
    <mergeCell ref="AQ123:AV123"/>
    <mergeCell ref="AW123:BB123"/>
    <mergeCell ref="BC123:BH123"/>
    <mergeCell ref="E124:H124"/>
    <mergeCell ref="I124:N124"/>
    <mergeCell ref="O124:T124"/>
    <mergeCell ref="U124:Z124"/>
    <mergeCell ref="AA124:AF124"/>
    <mergeCell ref="AG124:AJ124"/>
    <mergeCell ref="AK124:AP124"/>
    <mergeCell ref="AQ124:AV124"/>
    <mergeCell ref="AW124:BB124"/>
    <mergeCell ref="BC124:BH124"/>
    <mergeCell ref="E125:H125"/>
    <mergeCell ref="I125:N125"/>
    <mergeCell ref="O125:T125"/>
    <mergeCell ref="U125:Z125"/>
    <mergeCell ref="AA125:AF125"/>
    <mergeCell ref="AG125:AJ125"/>
    <mergeCell ref="AK125:AP125"/>
    <mergeCell ref="AQ125:AV125"/>
    <mergeCell ref="AW125:BB125"/>
    <mergeCell ref="BC125:BH125"/>
    <mergeCell ref="E126:H126"/>
    <mergeCell ref="I126:N126"/>
    <mergeCell ref="O126:T126"/>
    <mergeCell ref="U126:Z126"/>
    <mergeCell ref="AA126:AF126"/>
    <mergeCell ref="AG126:AJ126"/>
    <mergeCell ref="AK126:AP126"/>
    <mergeCell ref="AQ126:AV126"/>
    <mergeCell ref="AW126:BB126"/>
    <mergeCell ref="BC126:BH126"/>
    <mergeCell ref="E127:H127"/>
    <mergeCell ref="I127:N127"/>
    <mergeCell ref="O127:T127"/>
    <mergeCell ref="U127:Z127"/>
    <mergeCell ref="AA127:AF127"/>
    <mergeCell ref="AG127:AJ127"/>
    <mergeCell ref="AK127:AP127"/>
    <mergeCell ref="AQ127:AV127"/>
    <mergeCell ref="AW127:BB127"/>
    <mergeCell ref="BC127:BH127"/>
    <mergeCell ref="E128:H128"/>
    <mergeCell ref="I128:N128"/>
    <mergeCell ref="O128:T128"/>
    <mergeCell ref="U128:Z128"/>
    <mergeCell ref="AA128:AF128"/>
    <mergeCell ref="AG128:AJ128"/>
    <mergeCell ref="AK128:AP128"/>
    <mergeCell ref="AQ128:AV128"/>
    <mergeCell ref="AW128:BB128"/>
    <mergeCell ref="BC128:BH128"/>
    <mergeCell ref="E129:H129"/>
    <mergeCell ref="I129:N129"/>
    <mergeCell ref="O129:T129"/>
    <mergeCell ref="U129:Z129"/>
    <mergeCell ref="AA129:AF129"/>
    <mergeCell ref="AG129:AJ129"/>
    <mergeCell ref="AK129:AP129"/>
    <mergeCell ref="AQ129:AV129"/>
    <mergeCell ref="AW129:BB129"/>
    <mergeCell ref="BC129:BH129"/>
    <mergeCell ref="E130:H130"/>
    <mergeCell ref="I130:N130"/>
    <mergeCell ref="O130:T130"/>
    <mergeCell ref="U130:Z130"/>
    <mergeCell ref="AA130:AF130"/>
    <mergeCell ref="AG130:AJ130"/>
    <mergeCell ref="AK130:AP130"/>
    <mergeCell ref="AQ130:AV130"/>
    <mergeCell ref="AW130:BB130"/>
    <mergeCell ref="BC130:BH130"/>
    <mergeCell ref="E131:H131"/>
    <mergeCell ref="I131:N131"/>
    <mergeCell ref="O131:T131"/>
    <mergeCell ref="U131:Z131"/>
    <mergeCell ref="AA131:AF131"/>
    <mergeCell ref="AG131:AJ131"/>
    <mergeCell ref="AK131:AP131"/>
    <mergeCell ref="AQ131:AV131"/>
    <mergeCell ref="AW131:BB131"/>
    <mergeCell ref="BC131:BH131"/>
    <mergeCell ref="E132:H132"/>
    <mergeCell ref="I132:N132"/>
    <mergeCell ref="O132:T132"/>
    <mergeCell ref="U132:Z132"/>
    <mergeCell ref="AA132:AF132"/>
    <mergeCell ref="AG132:AJ132"/>
    <mergeCell ref="AK132:AP132"/>
    <mergeCell ref="AQ132:AV132"/>
    <mergeCell ref="AW132:BB132"/>
    <mergeCell ref="BC132:BH132"/>
    <mergeCell ref="E133:H133"/>
    <mergeCell ref="I133:N133"/>
    <mergeCell ref="O133:T133"/>
    <mergeCell ref="U133:Z133"/>
    <mergeCell ref="AA133:AF133"/>
    <mergeCell ref="AG133:AJ133"/>
    <mergeCell ref="AK133:AP133"/>
    <mergeCell ref="AQ133:AV133"/>
    <mergeCell ref="AW133:BB133"/>
    <mergeCell ref="BC133:BH133"/>
    <mergeCell ref="E134:H134"/>
    <mergeCell ref="I134:N134"/>
    <mergeCell ref="O134:T134"/>
    <mergeCell ref="U134:Z134"/>
    <mergeCell ref="AA134:AF134"/>
    <mergeCell ref="AG134:AJ134"/>
    <mergeCell ref="AK134:AP134"/>
    <mergeCell ref="AQ134:AV134"/>
    <mergeCell ref="AW134:BB134"/>
    <mergeCell ref="BC134:BH134"/>
    <mergeCell ref="E135:H135"/>
    <mergeCell ref="I135:N135"/>
    <mergeCell ref="O135:T135"/>
    <mergeCell ref="U135:Z135"/>
    <mergeCell ref="AA135:AF135"/>
    <mergeCell ref="AG135:AJ135"/>
    <mergeCell ref="AK135:AP135"/>
    <mergeCell ref="AQ135:AV135"/>
    <mergeCell ref="AW135:BB135"/>
    <mergeCell ref="BC135:BH135"/>
    <mergeCell ref="E136:H136"/>
    <mergeCell ref="I136:N136"/>
    <mergeCell ref="O136:T136"/>
    <mergeCell ref="U136:Z136"/>
    <mergeCell ref="AA136:AF136"/>
    <mergeCell ref="AG136:AJ136"/>
    <mergeCell ref="AK136:AP136"/>
    <mergeCell ref="AQ136:AV136"/>
    <mergeCell ref="AW136:BB136"/>
    <mergeCell ref="BC136:BH136"/>
    <mergeCell ref="E137:H137"/>
    <mergeCell ref="I137:N137"/>
    <mergeCell ref="O137:T137"/>
    <mergeCell ref="U137:Z137"/>
    <mergeCell ref="AA137:AF137"/>
    <mergeCell ref="AG137:AJ137"/>
    <mergeCell ref="AK137:AP137"/>
    <mergeCell ref="AQ137:AV137"/>
    <mergeCell ref="AW137:BB137"/>
    <mergeCell ref="BC137:BH137"/>
    <mergeCell ref="E138:H138"/>
    <mergeCell ref="I138:N138"/>
    <mergeCell ref="O138:T138"/>
    <mergeCell ref="U138:Z138"/>
    <mergeCell ref="AA138:AF138"/>
    <mergeCell ref="AG138:AJ138"/>
    <mergeCell ref="AK138:AP138"/>
    <mergeCell ref="AQ138:AV138"/>
    <mergeCell ref="AW138:BB138"/>
    <mergeCell ref="BC138:BH138"/>
    <mergeCell ref="E139:H139"/>
    <mergeCell ref="I139:N139"/>
    <mergeCell ref="O139:T139"/>
    <mergeCell ref="U139:Z139"/>
    <mergeCell ref="AA139:AF139"/>
    <mergeCell ref="AG139:AJ139"/>
    <mergeCell ref="AK139:AP139"/>
    <mergeCell ref="AQ139:AV139"/>
    <mergeCell ref="AW139:BB139"/>
    <mergeCell ref="BC139:BH139"/>
    <mergeCell ref="E140:H140"/>
    <mergeCell ref="I140:N140"/>
    <mergeCell ref="O140:T140"/>
    <mergeCell ref="U140:Z140"/>
    <mergeCell ref="AA140:AF140"/>
    <mergeCell ref="AG140:AJ140"/>
    <mergeCell ref="AK140:AP140"/>
    <mergeCell ref="AQ140:AV140"/>
    <mergeCell ref="AW140:BB140"/>
    <mergeCell ref="BC140:BH140"/>
    <mergeCell ref="E141:H141"/>
    <mergeCell ref="I141:N141"/>
    <mergeCell ref="O141:T141"/>
    <mergeCell ref="U141:Z141"/>
    <mergeCell ref="AA141:AF141"/>
    <mergeCell ref="AG141:AJ141"/>
    <mergeCell ref="AK141:AP141"/>
    <mergeCell ref="AQ141:AV141"/>
    <mergeCell ref="AW141:BB141"/>
    <mergeCell ref="BC141:BH141"/>
    <mergeCell ref="E142:H142"/>
    <mergeCell ref="I142:N142"/>
    <mergeCell ref="O142:T142"/>
    <mergeCell ref="U142:Z142"/>
    <mergeCell ref="AA142:AF142"/>
    <mergeCell ref="AG142:AJ142"/>
    <mergeCell ref="AK142:AP142"/>
    <mergeCell ref="AQ142:AV142"/>
    <mergeCell ref="AW142:BB142"/>
    <mergeCell ref="BC142:BH142"/>
    <mergeCell ref="E143:H143"/>
    <mergeCell ref="I143:N143"/>
    <mergeCell ref="O143:T143"/>
    <mergeCell ref="U143:Z143"/>
    <mergeCell ref="AA143:AF143"/>
    <mergeCell ref="AG143:AJ143"/>
    <mergeCell ref="AK143:AP143"/>
    <mergeCell ref="AQ143:AV143"/>
    <mergeCell ref="AW143:BB143"/>
    <mergeCell ref="BC143:BH143"/>
    <mergeCell ref="I144:Z144"/>
    <mergeCell ref="AA144:AJ144"/>
    <mergeCell ref="AK144:BH144"/>
    <mergeCell ref="I145:N145"/>
    <mergeCell ref="O145:T145"/>
    <mergeCell ref="U145:Z145"/>
    <mergeCell ref="AA145:AF145"/>
    <mergeCell ref="AG145:AH145"/>
    <mergeCell ref="AI145:AJ145"/>
    <mergeCell ref="AK145:AP145"/>
    <mergeCell ref="AQ145:AV145"/>
    <mergeCell ref="AW145:BB145"/>
    <mergeCell ref="BC145:BH145"/>
    <mergeCell ref="I146:N146"/>
    <mergeCell ref="O146:T146"/>
    <mergeCell ref="U146:Z146"/>
    <mergeCell ref="AA146:AF146"/>
    <mergeCell ref="AG146:AH146"/>
    <mergeCell ref="AI146:AJ146"/>
    <mergeCell ref="AK146:AP146"/>
    <mergeCell ref="AQ146:AV146"/>
    <mergeCell ref="AW146:BB146"/>
    <mergeCell ref="BC146:BH146"/>
    <mergeCell ref="E147:H147"/>
    <mergeCell ref="I147:N147"/>
    <mergeCell ref="O147:T147"/>
    <mergeCell ref="U147:Z147"/>
    <mergeCell ref="AA147:AF147"/>
    <mergeCell ref="AG147:AH147"/>
    <mergeCell ref="AI147:AJ147"/>
    <mergeCell ref="AK147:AP147"/>
    <mergeCell ref="AQ147:AV147"/>
    <mergeCell ref="AW147:BB147"/>
    <mergeCell ref="BC147:BH147"/>
    <mergeCell ref="E148:H148"/>
    <mergeCell ref="I148:N148"/>
    <mergeCell ref="O148:T148"/>
    <mergeCell ref="U148:Z148"/>
    <mergeCell ref="AA148:AF148"/>
    <mergeCell ref="AG148:AH148"/>
    <mergeCell ref="AI148:AJ148"/>
    <mergeCell ref="AK148:AP148"/>
    <mergeCell ref="AQ148:AV148"/>
    <mergeCell ref="AW148:BB148"/>
    <mergeCell ref="BC148:BH148"/>
    <mergeCell ref="E149:H149"/>
    <mergeCell ref="I149:N149"/>
    <mergeCell ref="O149:T149"/>
    <mergeCell ref="U149:Z149"/>
    <mergeCell ref="AA149:AF149"/>
    <mergeCell ref="AG149:AH149"/>
    <mergeCell ref="AI149:AJ149"/>
    <mergeCell ref="AK149:AP149"/>
    <mergeCell ref="AQ149:AV149"/>
    <mergeCell ref="AW149:BB149"/>
    <mergeCell ref="BC149:BH149"/>
    <mergeCell ref="E150:H150"/>
    <mergeCell ref="I150:N150"/>
    <mergeCell ref="O150:T150"/>
    <mergeCell ref="U150:Z150"/>
    <mergeCell ref="AA150:AF150"/>
    <mergeCell ref="AG150:AH150"/>
    <mergeCell ref="AI150:AJ150"/>
    <mergeCell ref="AK150:AP150"/>
    <mergeCell ref="AQ150:AV150"/>
    <mergeCell ref="AW150:BB150"/>
    <mergeCell ref="BC150:BH150"/>
    <mergeCell ref="E151:H151"/>
    <mergeCell ref="I151:N151"/>
    <mergeCell ref="O151:T151"/>
    <mergeCell ref="U151:Z151"/>
    <mergeCell ref="AA151:AF151"/>
    <mergeCell ref="AG151:AH151"/>
    <mergeCell ref="AI151:AJ151"/>
    <mergeCell ref="AK151:AP151"/>
    <mergeCell ref="AQ151:AV151"/>
    <mergeCell ref="AW151:BB151"/>
    <mergeCell ref="BC151:BH151"/>
    <mergeCell ref="E152:H152"/>
    <mergeCell ref="I152:N152"/>
    <mergeCell ref="O152:T152"/>
    <mergeCell ref="U152:Z152"/>
    <mergeCell ref="AA152:AF152"/>
    <mergeCell ref="AG152:AH152"/>
    <mergeCell ref="AI152:AJ152"/>
    <mergeCell ref="AK152:AP152"/>
    <mergeCell ref="AQ152:AV152"/>
    <mergeCell ref="AW152:BB152"/>
    <mergeCell ref="BC152:BH152"/>
    <mergeCell ref="E153:H153"/>
    <mergeCell ref="I153:N153"/>
    <mergeCell ref="O153:T153"/>
    <mergeCell ref="U153:Z153"/>
    <mergeCell ref="AA153:AF153"/>
    <mergeCell ref="AG153:AH153"/>
    <mergeCell ref="AI153:AJ153"/>
    <mergeCell ref="AK153:AP153"/>
    <mergeCell ref="AQ153:AV153"/>
    <mergeCell ref="AW153:BB153"/>
    <mergeCell ref="BC153:BH153"/>
    <mergeCell ref="E154:H154"/>
    <mergeCell ref="I154:N154"/>
    <mergeCell ref="O154:T154"/>
    <mergeCell ref="U154:Z154"/>
    <mergeCell ref="AA154:AF154"/>
    <mergeCell ref="AG154:AH154"/>
    <mergeCell ref="AI154:AJ154"/>
    <mergeCell ref="AK154:AP154"/>
    <mergeCell ref="AQ154:AV154"/>
    <mergeCell ref="AW154:BB154"/>
    <mergeCell ref="BC154:BH154"/>
    <mergeCell ref="E155:H155"/>
    <mergeCell ref="I155:N155"/>
    <mergeCell ref="O155:T155"/>
    <mergeCell ref="U155:Z155"/>
    <mergeCell ref="AA155:AF155"/>
    <mergeCell ref="AG155:AH155"/>
    <mergeCell ref="AI155:AJ155"/>
    <mergeCell ref="AK155:AP155"/>
    <mergeCell ref="AQ155:AV155"/>
    <mergeCell ref="AW155:BB155"/>
    <mergeCell ref="BC155:BH155"/>
    <mergeCell ref="E156:H156"/>
    <mergeCell ref="I156:N156"/>
    <mergeCell ref="O156:T156"/>
    <mergeCell ref="U156:Z156"/>
    <mergeCell ref="AA156:AF156"/>
    <mergeCell ref="AG156:AH156"/>
    <mergeCell ref="AI156:AJ156"/>
    <mergeCell ref="AK156:AP156"/>
    <mergeCell ref="AQ156:AV156"/>
    <mergeCell ref="AW156:BB156"/>
    <mergeCell ref="BC156:BH156"/>
    <mergeCell ref="E157:H157"/>
    <mergeCell ref="I157:N157"/>
    <mergeCell ref="O157:T157"/>
    <mergeCell ref="U157:Z157"/>
    <mergeCell ref="AA157:AF157"/>
    <mergeCell ref="AG157:AH157"/>
    <mergeCell ref="AI157:AJ157"/>
    <mergeCell ref="AK157:AP157"/>
    <mergeCell ref="AQ157:AV157"/>
    <mergeCell ref="AW157:BB157"/>
    <mergeCell ref="BC157:BH157"/>
    <mergeCell ref="E158:H158"/>
    <mergeCell ref="I158:N158"/>
    <mergeCell ref="O158:T158"/>
    <mergeCell ref="U158:Z158"/>
    <mergeCell ref="AA158:AF158"/>
    <mergeCell ref="AG158:AH158"/>
    <mergeCell ref="AI158:AJ158"/>
    <mergeCell ref="AK158:AP158"/>
    <mergeCell ref="AQ158:AV158"/>
    <mergeCell ref="AW158:BB158"/>
    <mergeCell ref="BC158:BH158"/>
    <mergeCell ref="I159:Z159"/>
    <mergeCell ref="AA159:AJ159"/>
    <mergeCell ref="AK159:BH159"/>
    <mergeCell ref="I160:N160"/>
    <mergeCell ref="O160:T160"/>
    <mergeCell ref="U160:Z160"/>
    <mergeCell ref="AA160:AF160"/>
    <mergeCell ref="AG160:AH160"/>
    <mergeCell ref="AI160:AJ160"/>
    <mergeCell ref="AK160:AP160"/>
    <mergeCell ref="AQ160:AV160"/>
    <mergeCell ref="AW160:BB160"/>
    <mergeCell ref="BC160:BH160"/>
    <mergeCell ref="I161:N161"/>
    <mergeCell ref="O161:T161"/>
    <mergeCell ref="U161:Z161"/>
    <mergeCell ref="AA161:AF161"/>
    <mergeCell ref="AG161:AH161"/>
    <mergeCell ref="AI161:AJ161"/>
    <mergeCell ref="AK161:AP161"/>
    <mergeCell ref="AQ161:AV161"/>
    <mergeCell ref="AW161:BB161"/>
    <mergeCell ref="BC161:BH161"/>
    <mergeCell ref="E162:H162"/>
    <mergeCell ref="I162:N162"/>
    <mergeCell ref="O162:T162"/>
    <mergeCell ref="U162:Z162"/>
    <mergeCell ref="AA162:AF162"/>
    <mergeCell ref="AG162:AH162"/>
    <mergeCell ref="AI162:AJ162"/>
    <mergeCell ref="AK162:AP162"/>
    <mergeCell ref="AQ162:AV162"/>
    <mergeCell ref="AW162:BB162"/>
    <mergeCell ref="BC162:BH162"/>
    <mergeCell ref="E163:H163"/>
    <mergeCell ref="I163:N163"/>
    <mergeCell ref="O163:T163"/>
    <mergeCell ref="U163:Z163"/>
    <mergeCell ref="AA163:AF163"/>
    <mergeCell ref="AG163:AH163"/>
    <mergeCell ref="AI163:AJ163"/>
    <mergeCell ref="AK163:AP163"/>
    <mergeCell ref="AQ163:AV163"/>
    <mergeCell ref="AW163:BB163"/>
    <mergeCell ref="BC163:BH163"/>
    <mergeCell ref="E164:H164"/>
    <mergeCell ref="I164:N164"/>
    <mergeCell ref="O164:T164"/>
    <mergeCell ref="U164:Z164"/>
    <mergeCell ref="AA164:AF164"/>
    <mergeCell ref="AG164:AH164"/>
    <mergeCell ref="AI164:AJ164"/>
    <mergeCell ref="AK164:AP164"/>
    <mergeCell ref="AQ164:AV164"/>
    <mergeCell ref="AW164:BB164"/>
    <mergeCell ref="BC164:BH164"/>
    <mergeCell ref="E165:H165"/>
    <mergeCell ref="I165:N165"/>
    <mergeCell ref="O165:T165"/>
    <mergeCell ref="U165:Z165"/>
    <mergeCell ref="AA165:AF165"/>
    <mergeCell ref="AG165:AH165"/>
    <mergeCell ref="AI165:AJ165"/>
    <mergeCell ref="AK165:AP165"/>
    <mergeCell ref="AQ165:AV165"/>
    <mergeCell ref="AW165:BB165"/>
    <mergeCell ref="BC165:BH165"/>
    <mergeCell ref="E166:H166"/>
    <mergeCell ref="I166:N166"/>
    <mergeCell ref="O166:T166"/>
    <mergeCell ref="U166:Z166"/>
    <mergeCell ref="AA166:AF166"/>
    <mergeCell ref="AG166:AH166"/>
    <mergeCell ref="AI166:AJ166"/>
    <mergeCell ref="AK166:AP166"/>
    <mergeCell ref="AQ166:AV166"/>
    <mergeCell ref="AW166:BB166"/>
    <mergeCell ref="BC166:BH166"/>
    <mergeCell ref="E167:H167"/>
    <mergeCell ref="I167:N167"/>
    <mergeCell ref="O167:T167"/>
    <mergeCell ref="U167:Z167"/>
    <mergeCell ref="AA167:AF167"/>
    <mergeCell ref="AG167:AH167"/>
    <mergeCell ref="AI167:AJ167"/>
    <mergeCell ref="AK167:AP167"/>
    <mergeCell ref="AQ167:AV167"/>
    <mergeCell ref="AW167:BB167"/>
    <mergeCell ref="BC167:BH167"/>
    <mergeCell ref="E168:H168"/>
    <mergeCell ref="I168:N168"/>
    <mergeCell ref="O168:T168"/>
    <mergeCell ref="U168:Z168"/>
    <mergeCell ref="AA168:AF168"/>
    <mergeCell ref="AG168:AH168"/>
    <mergeCell ref="AI168:AJ168"/>
    <mergeCell ref="AK168:AP168"/>
    <mergeCell ref="AQ168:AV168"/>
    <mergeCell ref="AW168:BB168"/>
    <mergeCell ref="BC168:BH168"/>
    <mergeCell ref="E169:H169"/>
    <mergeCell ref="I169:N169"/>
    <mergeCell ref="O169:T169"/>
    <mergeCell ref="U169:Z169"/>
    <mergeCell ref="AA169:AF169"/>
    <mergeCell ref="AG169:AH169"/>
    <mergeCell ref="AI169:AJ169"/>
    <mergeCell ref="AK169:AP169"/>
    <mergeCell ref="AQ169:AV169"/>
    <mergeCell ref="AW169:BB169"/>
    <mergeCell ref="BC169:BH169"/>
    <mergeCell ref="E170:H170"/>
    <mergeCell ref="I170:N170"/>
    <mergeCell ref="O170:T170"/>
    <mergeCell ref="U170:Z170"/>
    <mergeCell ref="AA170:AF170"/>
    <mergeCell ref="AG170:AH170"/>
    <mergeCell ref="AI170:AJ170"/>
    <mergeCell ref="AK170:AP170"/>
    <mergeCell ref="AQ170:AV170"/>
    <mergeCell ref="AW170:BB170"/>
    <mergeCell ref="BC170:BH170"/>
    <mergeCell ref="E171:H171"/>
    <mergeCell ref="I171:N171"/>
    <mergeCell ref="O171:T171"/>
    <mergeCell ref="U171:Z171"/>
    <mergeCell ref="AA171:AF171"/>
    <mergeCell ref="AG171:AH171"/>
    <mergeCell ref="AI171:AJ171"/>
    <mergeCell ref="AK171:AP171"/>
    <mergeCell ref="AQ171:AV171"/>
    <mergeCell ref="AW171:BB171"/>
    <mergeCell ref="BC171:BH171"/>
    <mergeCell ref="E172:H172"/>
    <mergeCell ref="I172:N172"/>
    <mergeCell ref="O172:T172"/>
    <mergeCell ref="U172:Z172"/>
    <mergeCell ref="AA172:AF172"/>
    <mergeCell ref="AG172:AH172"/>
    <mergeCell ref="AI172:AJ172"/>
    <mergeCell ref="AK172:AP172"/>
    <mergeCell ref="AQ172:AV172"/>
    <mergeCell ref="AW172:BB172"/>
    <mergeCell ref="BC172:BH172"/>
    <mergeCell ref="E173:H173"/>
    <mergeCell ref="I173:N173"/>
    <mergeCell ref="O173:T173"/>
    <mergeCell ref="U173:Z173"/>
    <mergeCell ref="AA173:AF173"/>
    <mergeCell ref="AG173:AH173"/>
    <mergeCell ref="AI173:AJ173"/>
    <mergeCell ref="AK173:AP173"/>
    <mergeCell ref="AQ173:AV173"/>
    <mergeCell ref="AW173:BB173"/>
    <mergeCell ref="BC173:BH173"/>
    <mergeCell ref="E174:H174"/>
    <mergeCell ref="I174:N174"/>
    <mergeCell ref="O174:T174"/>
    <mergeCell ref="U174:Z174"/>
    <mergeCell ref="AA174:AF174"/>
    <mergeCell ref="AG174:AH174"/>
    <mergeCell ref="AI174:AJ174"/>
    <mergeCell ref="AK174:AP174"/>
    <mergeCell ref="AQ174:AV174"/>
    <mergeCell ref="AW174:BB174"/>
    <mergeCell ref="BC174:BH174"/>
    <mergeCell ref="E175:H175"/>
    <mergeCell ref="I175:N175"/>
    <mergeCell ref="O175:T175"/>
    <mergeCell ref="U175:Z175"/>
    <mergeCell ref="AA175:AF175"/>
    <mergeCell ref="AG175:AH175"/>
    <mergeCell ref="AI175:AJ175"/>
    <mergeCell ref="AK175:AP175"/>
    <mergeCell ref="AQ175:AV175"/>
    <mergeCell ref="AW175:BB175"/>
    <mergeCell ref="BC175:BH175"/>
    <mergeCell ref="E176:H176"/>
    <mergeCell ref="I176:N176"/>
    <mergeCell ref="O176:T176"/>
    <mergeCell ref="U176:Z176"/>
    <mergeCell ref="AA176:AF176"/>
    <mergeCell ref="AG176:AH176"/>
    <mergeCell ref="AI176:AJ176"/>
    <mergeCell ref="AK176:AP176"/>
    <mergeCell ref="AQ176:AV176"/>
    <mergeCell ref="AW176:BB176"/>
    <mergeCell ref="BC176:BH176"/>
    <mergeCell ref="A179:E179"/>
    <mergeCell ref="F179:N179"/>
    <mergeCell ref="O179:S179"/>
    <mergeCell ref="T179:AB179"/>
    <mergeCell ref="AC179:AJ179"/>
    <mergeCell ref="AK179:AS179"/>
    <mergeCell ref="AT179:AX179"/>
    <mergeCell ref="AY179:BH179"/>
    <mergeCell ref="P35:AC41"/>
    <mergeCell ref="AM35:AU41"/>
    <mergeCell ref="A43:D48"/>
    <mergeCell ref="E43:H48"/>
    <mergeCell ref="BE43:BH48"/>
    <mergeCell ref="I43:AF48"/>
    <mergeCell ref="AG43:BD48"/>
    <mergeCell ref="A49:D57"/>
    <mergeCell ref="E50:F51"/>
    <mergeCell ref="AG50:AH51"/>
    <mergeCell ref="S50:U51"/>
    <mergeCell ref="AU50:AW51"/>
    <mergeCell ref="A121:D143"/>
    <mergeCell ref="E121:H123"/>
    <mergeCell ref="AG121:AJ123"/>
    <mergeCell ref="A144:D176"/>
    <mergeCell ref="E144:H146"/>
    <mergeCell ref="E159:H161"/>
    <mergeCell ref="A177:D178"/>
    <mergeCell ref="E177:BH178"/>
  </mergeCells>
  <hyperlinks>
    <hyperlink ref="A1" location="Catalogue!A1" display="Back"/>
    <hyperlink ref="A1:BH1" location="目录!A1" display="Back"/>
  </hyperlinks>
  <printOptions horizontalCentered="1"/>
  <pageMargins left="0.15748031496063" right="0.15748031496063" top="0.393700787401575" bottom="0.393700787401575" header="0.31496062992126" footer="0.31496062992126"/>
  <pageSetup paperSize="9" scale="68" orientation="portrait"/>
  <headerFooter/>
  <rowBreaks count="1" manualBreakCount="1">
    <brk id="57" max="16383" man="1"/>
  </rowBreaks>
  <colBreaks count="1" manualBreakCount="1">
    <brk id="60" max="178" man="1"/>
  </col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
  <sheetViews>
    <sheetView zoomScale="70" zoomScaleNormal="70" workbookViewId="0">
      <selection activeCell="A1" sqref="A1:I1"/>
    </sheetView>
  </sheetViews>
  <sheetFormatPr defaultColWidth="8.75" defaultRowHeight="14.25"/>
  <cols>
    <col min="1" max="1" width="16.625" style="612" customWidth="1"/>
    <col min="2" max="2" width="9.25" style="613" customWidth="1"/>
    <col min="3" max="3" width="12.625" style="612" customWidth="1"/>
    <col min="4" max="6" width="30.625" style="612" customWidth="1"/>
    <col min="7" max="7" width="20.625" style="612" customWidth="1"/>
    <col min="8" max="8" width="12.625" style="612" customWidth="1"/>
    <col min="9" max="9" width="12.625" style="613" customWidth="1"/>
    <col min="10" max="16384" width="8.75" style="613"/>
  </cols>
  <sheetData>
    <row r="1" ht="15.75" spans="1:9">
      <c r="A1" s="3" t="s">
        <v>880</v>
      </c>
      <c r="B1" s="3"/>
      <c r="C1" s="3"/>
      <c r="D1" s="3"/>
      <c r="E1" s="3"/>
      <c r="F1" s="3"/>
      <c r="G1" s="3"/>
      <c r="H1" s="3"/>
      <c r="I1" s="3"/>
    </row>
    <row r="2" s="610" customFormat="1" ht="56.1" customHeight="1" spans="1:9">
      <c r="A2" s="614" t="str">
        <f>IF(目录!G2="中文",对照!BJ2,IF(目录!G2="English",对照!BK2,对照!BJ2))</f>
        <v>模具问题点履历表</v>
      </c>
      <c r="B2" s="615"/>
      <c r="C2" s="615"/>
      <c r="D2" s="615"/>
      <c r="E2" s="615"/>
      <c r="F2" s="615"/>
      <c r="G2" s="615"/>
      <c r="H2" s="615"/>
      <c r="I2" s="628"/>
    </row>
    <row r="3" s="611" customFormat="1" ht="32.1" customHeight="1" spans="1:9">
      <c r="A3" s="616" t="str">
        <f>IF(目录!G2="中文",对照!Z4,IF(目录!G2="English",对照!AA4,对照!Z4))</f>
        <v>模号</v>
      </c>
      <c r="B3" s="617" t="str">
        <f>IF(目录!G2="中文",对照!Z12,IF(目录!G2="English",对照!AA12,对照!Z12))</f>
        <v>试模次数</v>
      </c>
      <c r="C3" s="617" t="str">
        <f>IF(目录!G2="中文",对照!Z122,IF(目录!G2="English",对照!AA122,对照!Z122))</f>
        <v>日期:</v>
      </c>
      <c r="D3" s="617" t="str">
        <f>IF(目录!G2="中文",对照!BJ3,IF(目录!G2="English",对照!BK3,对照!BJ3))</f>
        <v>问题点</v>
      </c>
      <c r="E3" s="617" t="str">
        <f>IF(目录!G2="中文",对照!BJ4,IF(目录!G2="English",对照!BK4,对照!BJ4))</f>
        <v>遗留问题点</v>
      </c>
      <c r="F3" s="617" t="str">
        <f>IF(目录!G2="中文",对照!BJ5,IF(目录!G2="English",对照!BK5,对照!BJ5))</f>
        <v>新增问题点</v>
      </c>
      <c r="G3" s="617" t="str">
        <f>IF(目录!G2="中文",对照!BJ6,IF(目录!G2="English",对照!BK6,对照!BJ6))</f>
        <v>备注</v>
      </c>
      <c r="H3" s="617" t="str">
        <f>IF(目录!G2="中文",对照!BJ7,IF(目录!G2="English",对照!BK7,对照!BJ7))</f>
        <v>工程师</v>
      </c>
      <c r="I3" s="629" t="str">
        <f>IF(目录!G2="中文",对照!BJ8,IF(目录!G2="English",对照!BK8,对照!B8))</f>
        <v>试模员</v>
      </c>
    </row>
    <row r="4" ht="24" customHeight="1" spans="1:9">
      <c r="A4" s="618"/>
      <c r="B4" s="619"/>
      <c r="C4" s="620"/>
      <c r="D4" s="621"/>
      <c r="E4" s="621"/>
      <c r="F4" s="621"/>
      <c r="G4" s="621"/>
      <c r="H4" s="621"/>
      <c r="I4" s="630"/>
    </row>
    <row r="5" ht="24" customHeight="1" spans="1:9">
      <c r="A5" s="618"/>
      <c r="B5" s="619"/>
      <c r="C5" s="621"/>
      <c r="D5" s="621"/>
      <c r="E5" s="621"/>
      <c r="F5" s="621"/>
      <c r="G5" s="621"/>
      <c r="H5" s="621"/>
      <c r="I5" s="631"/>
    </row>
    <row r="6" ht="24" customHeight="1" spans="1:9">
      <c r="A6" s="618"/>
      <c r="B6" s="619"/>
      <c r="C6" s="621"/>
      <c r="D6" s="621"/>
      <c r="E6" s="621"/>
      <c r="F6" s="621"/>
      <c r="G6" s="621"/>
      <c r="H6" s="621"/>
      <c r="I6" s="631"/>
    </row>
    <row r="7" ht="24" customHeight="1" spans="1:9">
      <c r="A7" s="618"/>
      <c r="B7" s="619"/>
      <c r="C7" s="621"/>
      <c r="D7" s="621"/>
      <c r="E7" s="621"/>
      <c r="F7" s="621"/>
      <c r="G7" s="621"/>
      <c r="H7" s="621"/>
      <c r="I7" s="631"/>
    </row>
    <row r="8" ht="24" customHeight="1" spans="1:9">
      <c r="A8" s="618"/>
      <c r="B8" s="619"/>
      <c r="C8" s="621"/>
      <c r="D8" s="621"/>
      <c r="E8" s="621"/>
      <c r="F8" s="621"/>
      <c r="G8" s="621"/>
      <c r="H8" s="621"/>
      <c r="I8" s="631"/>
    </row>
    <row r="9" ht="24" customHeight="1" spans="1:9">
      <c r="A9" s="618"/>
      <c r="B9" s="619"/>
      <c r="C9" s="621"/>
      <c r="D9" s="621"/>
      <c r="E9" s="621"/>
      <c r="F9" s="621"/>
      <c r="G9" s="621"/>
      <c r="H9" s="621"/>
      <c r="I9" s="631"/>
    </row>
    <row r="10" ht="24" customHeight="1" spans="1:9">
      <c r="A10" s="618"/>
      <c r="B10" s="619"/>
      <c r="C10" s="621"/>
      <c r="D10" s="621"/>
      <c r="E10" s="621"/>
      <c r="F10" s="621"/>
      <c r="G10" s="621"/>
      <c r="H10" s="621"/>
      <c r="I10" s="631"/>
    </row>
    <row r="11" ht="24" customHeight="1" spans="1:9">
      <c r="A11" s="618"/>
      <c r="B11" s="619"/>
      <c r="C11" s="621"/>
      <c r="D11" s="621"/>
      <c r="E11" s="621"/>
      <c r="F11" s="621"/>
      <c r="G11" s="621"/>
      <c r="H11" s="621"/>
      <c r="I11" s="631"/>
    </row>
    <row r="12" ht="24" customHeight="1" spans="1:9">
      <c r="A12" s="618"/>
      <c r="B12" s="619"/>
      <c r="C12" s="621"/>
      <c r="D12" s="621"/>
      <c r="E12" s="621"/>
      <c r="F12" s="621"/>
      <c r="G12" s="621"/>
      <c r="H12" s="621"/>
      <c r="I12" s="631"/>
    </row>
    <row r="13" ht="24" customHeight="1" spans="1:9">
      <c r="A13" s="618"/>
      <c r="B13" s="619"/>
      <c r="C13" s="621"/>
      <c r="D13" s="621"/>
      <c r="E13" s="621"/>
      <c r="F13" s="621"/>
      <c r="G13" s="621"/>
      <c r="H13" s="621"/>
      <c r="I13" s="631"/>
    </row>
    <row r="14" ht="24" customHeight="1" spans="1:9">
      <c r="A14" s="618"/>
      <c r="B14" s="619"/>
      <c r="C14" s="621"/>
      <c r="D14" s="621"/>
      <c r="E14" s="621"/>
      <c r="F14" s="621"/>
      <c r="G14" s="621"/>
      <c r="H14" s="621"/>
      <c r="I14" s="631"/>
    </row>
    <row r="15" ht="24" customHeight="1" spans="1:9">
      <c r="A15" s="618"/>
      <c r="B15" s="619"/>
      <c r="C15" s="621"/>
      <c r="D15" s="621"/>
      <c r="E15" s="621"/>
      <c r="F15" s="621"/>
      <c r="G15" s="621"/>
      <c r="H15" s="621"/>
      <c r="I15" s="631"/>
    </row>
    <row r="16" ht="24" customHeight="1" spans="1:9">
      <c r="A16" s="618"/>
      <c r="B16" s="619"/>
      <c r="C16" s="621"/>
      <c r="D16" s="621"/>
      <c r="E16" s="621"/>
      <c r="F16" s="621"/>
      <c r="G16" s="621"/>
      <c r="H16" s="621"/>
      <c r="I16" s="631"/>
    </row>
    <row r="17" ht="24" customHeight="1" spans="1:9">
      <c r="A17" s="618"/>
      <c r="B17" s="619"/>
      <c r="C17" s="621"/>
      <c r="D17" s="621"/>
      <c r="E17" s="621"/>
      <c r="F17" s="621"/>
      <c r="G17" s="621"/>
      <c r="H17" s="621"/>
      <c r="I17" s="631"/>
    </row>
    <row r="18" ht="24" customHeight="1" spans="1:9">
      <c r="A18" s="618"/>
      <c r="B18" s="619"/>
      <c r="C18" s="621"/>
      <c r="D18" s="621"/>
      <c r="E18" s="621"/>
      <c r="F18" s="621"/>
      <c r="G18" s="621"/>
      <c r="H18" s="621"/>
      <c r="I18" s="631"/>
    </row>
    <row r="19" ht="24" customHeight="1" spans="1:9">
      <c r="A19" s="618"/>
      <c r="B19" s="619"/>
      <c r="C19" s="621"/>
      <c r="D19" s="621"/>
      <c r="E19" s="621"/>
      <c r="F19" s="621"/>
      <c r="G19" s="621"/>
      <c r="H19" s="621"/>
      <c r="I19" s="631"/>
    </row>
    <row r="20" ht="24" customHeight="1" spans="1:9">
      <c r="A20" s="618"/>
      <c r="B20" s="619"/>
      <c r="C20" s="621"/>
      <c r="D20" s="621"/>
      <c r="E20" s="621"/>
      <c r="F20" s="621"/>
      <c r="G20" s="621"/>
      <c r="H20" s="621"/>
      <c r="I20" s="631"/>
    </row>
    <row r="21" ht="24" customHeight="1" spans="1:9">
      <c r="A21" s="618"/>
      <c r="B21" s="619"/>
      <c r="C21" s="621"/>
      <c r="D21" s="621"/>
      <c r="E21" s="621"/>
      <c r="F21" s="621"/>
      <c r="G21" s="621"/>
      <c r="H21" s="621"/>
      <c r="I21" s="631"/>
    </row>
    <row r="22" ht="24" customHeight="1" spans="1:9">
      <c r="A22" s="618"/>
      <c r="B22" s="619"/>
      <c r="C22" s="621"/>
      <c r="D22" s="621"/>
      <c r="E22" s="621"/>
      <c r="F22" s="621"/>
      <c r="G22" s="621"/>
      <c r="H22" s="621"/>
      <c r="I22" s="631"/>
    </row>
    <row r="23" ht="24" customHeight="1" spans="1:9">
      <c r="A23" s="618"/>
      <c r="B23" s="619"/>
      <c r="C23" s="621"/>
      <c r="D23" s="621"/>
      <c r="E23" s="621"/>
      <c r="F23" s="621"/>
      <c r="G23" s="621"/>
      <c r="H23" s="621"/>
      <c r="I23" s="631"/>
    </row>
    <row r="24" ht="24" customHeight="1" spans="1:9">
      <c r="A24" s="618"/>
      <c r="B24" s="619"/>
      <c r="C24" s="621"/>
      <c r="D24" s="621"/>
      <c r="E24" s="621"/>
      <c r="F24" s="621"/>
      <c r="G24" s="621"/>
      <c r="H24" s="621"/>
      <c r="I24" s="631"/>
    </row>
    <row r="25" ht="24" customHeight="1" spans="1:9">
      <c r="A25" s="622"/>
      <c r="B25" s="623"/>
      <c r="C25" s="624"/>
      <c r="D25" s="624"/>
      <c r="E25" s="624"/>
      <c r="F25" s="624"/>
      <c r="G25" s="624"/>
      <c r="H25" s="624"/>
      <c r="I25" s="632"/>
    </row>
    <row r="26" ht="15.95" customHeight="1" spans="1:9">
      <c r="A26" s="625"/>
      <c r="B26" s="626"/>
      <c r="G26" s="627"/>
      <c r="H26" s="627"/>
      <c r="I26" s="613" t="s">
        <v>1651</v>
      </c>
    </row>
    <row r="27" ht="30" customHeight="1" spans="2:2">
      <c r="B27" s="626"/>
    </row>
    <row r="28" ht="30" customHeight="1" spans="2:2">
      <c r="B28" s="626"/>
    </row>
    <row r="29" ht="30" customHeight="1" spans="2:2">
      <c r="B29" s="626"/>
    </row>
    <row r="30" ht="30" customHeight="1" spans="2:2">
      <c r="B30" s="626"/>
    </row>
    <row r="31" ht="30" customHeight="1" spans="2:2">
      <c r="B31" s="626"/>
    </row>
    <row r="32" ht="30" customHeight="1" spans="2:2">
      <c r="B32" s="626"/>
    </row>
    <row r="33" ht="30" customHeight="1" spans="2:2">
      <c r="B33" s="626"/>
    </row>
    <row r="34" ht="30" customHeight="1" spans="2:2">
      <c r="B34" s="626"/>
    </row>
    <row r="35" ht="30" customHeight="1" spans="2:2">
      <c r="B35" s="626"/>
    </row>
  </sheetData>
  <sheetProtection formatCells="0"/>
  <mergeCells count="2">
    <mergeCell ref="A1:I1"/>
    <mergeCell ref="A2:I2"/>
  </mergeCells>
  <hyperlinks>
    <hyperlink ref="A1" location="Catalogue!A1" display="Back"/>
    <hyperlink ref="A1:I1" location="目录!A1" display="Back"/>
  </hyperlinks>
  <pageMargins left="0.196850393700787" right="0" top="0.196850393700787" bottom="0" header="0.118110236220472" footer="0.118110236220472"/>
  <pageSetup paperSize="9"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6"/>
  <sheetViews>
    <sheetView tabSelected="1" zoomScale="70" zoomScaleNormal="70" workbookViewId="0">
      <selection activeCell="I5" sqref="I5:I54"/>
    </sheetView>
  </sheetViews>
  <sheetFormatPr defaultColWidth="9.125" defaultRowHeight="20.25"/>
  <cols>
    <col min="1" max="1" width="4.625" style="563" customWidth="1"/>
    <col min="2" max="3" width="7.625" style="563" customWidth="1"/>
    <col min="4" max="4" width="5.625" style="563" customWidth="1"/>
    <col min="5" max="6" width="7.625" style="563" customWidth="1"/>
    <col min="7" max="7" width="7.625" style="564" customWidth="1"/>
    <col min="8" max="8" width="5.625" style="563" customWidth="1"/>
    <col min="9" max="9" width="4.625" style="564" customWidth="1"/>
    <col min="10" max="11" width="7.625" style="563" customWidth="1"/>
    <col min="12" max="12" width="5.625" style="563" customWidth="1"/>
    <col min="13" max="15" width="7.625" style="563" customWidth="1"/>
    <col min="16" max="16" width="5.625" style="563" customWidth="1"/>
    <col min="17" max="16384" width="9.125" style="563"/>
  </cols>
  <sheetData>
    <row r="1" ht="15.75" spans="1:16">
      <c r="A1" s="3" t="s">
        <v>880</v>
      </c>
      <c r="B1" s="3"/>
      <c r="C1" s="3"/>
      <c r="D1" s="3"/>
      <c r="E1" s="3"/>
      <c r="F1" s="3"/>
      <c r="G1" s="3"/>
      <c r="H1" s="3"/>
      <c r="I1" s="3"/>
      <c r="J1" s="3"/>
      <c r="K1" s="3"/>
      <c r="L1" s="3"/>
      <c r="M1" s="3"/>
      <c r="N1" s="3"/>
      <c r="O1" s="3"/>
      <c r="P1" s="3"/>
    </row>
    <row r="2" ht="56.1" customHeight="1" spans="1:16">
      <c r="A2" s="565" t="s">
        <v>1652</v>
      </c>
      <c r="B2" s="510"/>
      <c r="C2" s="510"/>
      <c r="D2" s="510"/>
      <c r="E2" s="510"/>
      <c r="F2" s="510"/>
      <c r="G2" s="510"/>
      <c r="H2" s="510"/>
      <c r="I2" s="510"/>
      <c r="J2" s="510"/>
      <c r="K2" s="510"/>
      <c r="L2" s="510"/>
      <c r="M2" s="510"/>
      <c r="N2" s="510"/>
      <c r="O2" s="510"/>
      <c r="P2" s="510"/>
    </row>
    <row r="3" s="560" customFormat="1" ht="15.95" customHeight="1" spans="1:16">
      <c r="A3" s="566" t="str">
        <f>IF(目录!G2="中文",对照!AF3,IF(目录!G2="English",对照!AG3,对照!AF3))</f>
        <v>组号                         Group No.</v>
      </c>
      <c r="B3" s="567" t="s">
        <v>1029</v>
      </c>
      <c r="C3" s="568"/>
      <c r="D3" s="568"/>
      <c r="E3" s="568"/>
      <c r="F3" s="568"/>
      <c r="G3" s="568"/>
      <c r="H3" s="569" t="str">
        <f>IF(目录!G2="中文",对照!AF11,IF(目录!G2="English",对照!AG11,对照!AF11))</f>
        <v>结果</v>
      </c>
      <c r="I3" s="598" t="str">
        <f>IF(目录!G2="中文",对照!AF3,IF(目录!G2="English",对照!AG3,对照!AF3))</f>
        <v>组号                         Group No.</v>
      </c>
      <c r="J3" s="567" t="s">
        <v>1037</v>
      </c>
      <c r="K3" s="568"/>
      <c r="L3" s="568"/>
      <c r="M3" s="568"/>
      <c r="N3" s="568"/>
      <c r="O3" s="568"/>
      <c r="P3" s="569" t="str">
        <f>IF(目录!G2="中文",对照!AF11,IF(目录!G2="English",对照!AG11,对照!AF11))</f>
        <v>结果</v>
      </c>
    </row>
    <row r="4" s="561" customFormat="1" ht="32.1" customHeight="1" spans="1:16">
      <c r="A4" s="570"/>
      <c r="B4" s="571" t="str">
        <f>IF(目录!G2="中文",对照!AF5,IF(目录!G2="English",对照!AG5,对照!AF5))</f>
        <v>运水直径
（mm）</v>
      </c>
      <c r="C4" s="571" t="str">
        <f>IF(目录!G2="中文",对照!AF6,IF(目录!G2="English",对照!AG6,对照!AF6))</f>
        <v>水的温度
（℃）</v>
      </c>
      <c r="D4" s="571" t="str">
        <f>IF(目录!G2="中文",对照!AF7,IF(目录!G2="English",对照!AG7,对照!AF7))</f>
        <v>流量
(g/m)</v>
      </c>
      <c r="E4" s="571" t="str">
        <f>IF(目录!G2="中文",对照!AF8,IF(目录!G2="English",对照!AG8,对照!AF8))</f>
        <v>水的压力
(kgf/cm²)</v>
      </c>
      <c r="F4" s="571" t="str">
        <f>IF(目录!G2="中文",对照!AF9,IF(目录!G2="English",对照!AG9,对照!AF9))</f>
        <v>水的粘度系数
(10-6m²/s)</v>
      </c>
      <c r="G4" s="572" t="str">
        <f>IF(目录!G2="中文",对照!AF10,IF(目录!G2="English",对照!AG10,对照!AF10))</f>
        <v>雷诺系数</v>
      </c>
      <c r="H4" s="573"/>
      <c r="I4" s="599"/>
      <c r="J4" s="571" t="str">
        <f>IF(目录!G2="中文",对照!AF5,IF(目录!G2="English",对照!AG5,对照!AF5))</f>
        <v>运水直径
（mm）</v>
      </c>
      <c r="K4" s="571" t="str">
        <f>IF(目录!G2="中文",对照!AF6,IF(目录!G2="English",对照!AG6,对照!AF6))</f>
        <v>水的温度
（℃）</v>
      </c>
      <c r="L4" s="571" t="str">
        <f>IF(目录!G2="中文",对照!AF7,IF(目录!G2="English",对照!AG7,对照!AF7))</f>
        <v>流量
(g/m)</v>
      </c>
      <c r="M4" s="571" t="str">
        <f>IF(目录!G2="中文",对照!AF8,IF(目录!G2="English",对照!AG8,对照!AF8))</f>
        <v>水的压力
(kgf/cm²)</v>
      </c>
      <c r="N4" s="571" t="str">
        <f>IF(目录!G2="中文",对照!AF9,IF(目录!G2="English",对照!AG9,对照!AF9))</f>
        <v>水的粘度系数
(10-6m²/s)</v>
      </c>
      <c r="O4" s="572" t="str">
        <f>IF(目录!G2="中文",对照!AF10,IF(目录!G2="English",对照!AG10,对照!AF10))</f>
        <v>雷诺系数</v>
      </c>
      <c r="P4" s="573"/>
    </row>
    <row r="5" s="562" customFormat="1" ht="15.95" customHeight="1" spans="1:16">
      <c r="A5" s="574" t="s">
        <v>1653</v>
      </c>
      <c r="B5" s="575"/>
      <c r="C5" s="575"/>
      <c r="D5" s="575"/>
      <c r="E5" s="576"/>
      <c r="F5" s="577"/>
      <c r="G5" s="578" t="str">
        <f>IF(ISNUMBER($D5)=TRUE,($D5*4.546*$B5)/(60*$F5*($B5/2)^2*3.14)*10^6," ")</f>
        <v> </v>
      </c>
      <c r="H5" s="579" t="str">
        <f>IF(ISNUMBER($D5)=TRUE,IF($G5&gt;=10000,"OK","NG")," ")</f>
        <v> </v>
      </c>
      <c r="I5" s="574" t="s">
        <v>1653</v>
      </c>
      <c r="J5" s="575"/>
      <c r="K5" s="575"/>
      <c r="L5" s="575"/>
      <c r="M5" s="576"/>
      <c r="N5" s="577"/>
      <c r="O5" s="578" t="str">
        <f>IF(ISNUMBER($L5)=TRUE,($L5*4.546*$J5)/(60*$N5*($J5/2)^2*3.14)*10^6," ")</f>
        <v> </v>
      </c>
      <c r="P5" s="579" t="str">
        <f>IF(ISNUMBER($L5)=TRUE,IF($O5&gt;=10000,"OK","NG")," ")</f>
        <v> </v>
      </c>
    </row>
    <row r="6" s="562" customFormat="1" ht="15.95" customHeight="1" spans="1:16">
      <c r="A6" s="580" t="s">
        <v>1654</v>
      </c>
      <c r="B6" s="575"/>
      <c r="C6" s="575"/>
      <c r="D6" s="575"/>
      <c r="E6" s="576"/>
      <c r="F6" s="577"/>
      <c r="G6" s="578" t="str">
        <f t="shared" ref="G6:G28" si="0">IF(ISNUMBER($D6)=TRUE,($D6*4.546*$B6)/(60*$F6*($B6/2)^2*3.14)*10^6," ")</f>
        <v> </v>
      </c>
      <c r="H6" s="579" t="str">
        <f t="shared" ref="H6:H28" si="1">IF(ISNUMBER($D6)=TRUE,IF($G6&gt;=10000,"OK","NG")," ")</f>
        <v> </v>
      </c>
      <c r="I6" s="580" t="s">
        <v>1654</v>
      </c>
      <c r="J6" s="575"/>
      <c r="K6" s="575"/>
      <c r="L6" s="575"/>
      <c r="M6" s="576"/>
      <c r="N6" s="577"/>
      <c r="O6" s="578" t="str">
        <f t="shared" ref="O6:O28" si="2">IF(ISNUMBER($L6)=TRUE,($L6*4.546*$J6)/(60*$N6*($J6/2)^2*3.14)*10^6," ")</f>
        <v> </v>
      </c>
      <c r="P6" s="579" t="str">
        <f t="shared" ref="P6:P28" si="3">IF(ISNUMBER($L6)=TRUE,IF($O6&gt;=10000,"OK","NG")," ")</f>
        <v> </v>
      </c>
    </row>
    <row r="7" s="562" customFormat="1" ht="15.95" customHeight="1" spans="1:16">
      <c r="A7" s="574" t="s">
        <v>1655</v>
      </c>
      <c r="B7" s="575"/>
      <c r="C7" s="575"/>
      <c r="D7" s="575"/>
      <c r="E7" s="576"/>
      <c r="F7" s="577"/>
      <c r="G7" s="578" t="str">
        <f t="shared" si="0"/>
        <v> </v>
      </c>
      <c r="H7" s="579" t="str">
        <f t="shared" si="1"/>
        <v> </v>
      </c>
      <c r="I7" s="574" t="s">
        <v>1655</v>
      </c>
      <c r="J7" s="575"/>
      <c r="K7" s="575"/>
      <c r="L7" s="575"/>
      <c r="M7" s="576"/>
      <c r="N7" s="577"/>
      <c r="O7" s="578" t="str">
        <f t="shared" si="2"/>
        <v> </v>
      </c>
      <c r="P7" s="579" t="str">
        <f t="shared" si="3"/>
        <v> </v>
      </c>
    </row>
    <row r="8" s="562" customFormat="1" ht="15.95" customHeight="1" spans="1:16">
      <c r="A8" s="580" t="s">
        <v>1656</v>
      </c>
      <c r="B8" s="575"/>
      <c r="C8" s="575"/>
      <c r="D8" s="575"/>
      <c r="E8" s="576"/>
      <c r="F8" s="577"/>
      <c r="G8" s="578" t="str">
        <f t="shared" si="0"/>
        <v> </v>
      </c>
      <c r="H8" s="579" t="str">
        <f t="shared" si="1"/>
        <v> </v>
      </c>
      <c r="I8" s="580" t="s">
        <v>1656</v>
      </c>
      <c r="J8" s="575"/>
      <c r="K8" s="575"/>
      <c r="L8" s="575"/>
      <c r="M8" s="576"/>
      <c r="N8" s="577"/>
      <c r="O8" s="578" t="str">
        <f t="shared" si="2"/>
        <v> </v>
      </c>
      <c r="P8" s="579" t="str">
        <f t="shared" si="3"/>
        <v> </v>
      </c>
    </row>
    <row r="9" s="562" customFormat="1" ht="15.95" customHeight="1" spans="1:16">
      <c r="A9" s="574" t="s">
        <v>1657</v>
      </c>
      <c r="B9" s="575"/>
      <c r="C9" s="575"/>
      <c r="D9" s="575"/>
      <c r="E9" s="576"/>
      <c r="F9" s="577"/>
      <c r="G9" s="578" t="str">
        <f t="shared" si="0"/>
        <v> </v>
      </c>
      <c r="H9" s="579" t="str">
        <f t="shared" si="1"/>
        <v> </v>
      </c>
      <c r="I9" s="574" t="s">
        <v>1657</v>
      </c>
      <c r="J9" s="575"/>
      <c r="K9" s="575"/>
      <c r="L9" s="575"/>
      <c r="M9" s="576"/>
      <c r="N9" s="577"/>
      <c r="O9" s="578" t="str">
        <f t="shared" si="2"/>
        <v> </v>
      </c>
      <c r="P9" s="579" t="str">
        <f t="shared" si="3"/>
        <v> </v>
      </c>
    </row>
    <row r="10" s="562" customFormat="1" ht="15.95" customHeight="1" spans="1:16">
      <c r="A10" s="574" t="s">
        <v>1658</v>
      </c>
      <c r="B10" s="575"/>
      <c r="C10" s="575"/>
      <c r="D10" s="575"/>
      <c r="E10" s="576"/>
      <c r="F10" s="577"/>
      <c r="G10" s="578" t="str">
        <f t="shared" si="0"/>
        <v> </v>
      </c>
      <c r="H10" s="579" t="str">
        <f t="shared" si="1"/>
        <v> </v>
      </c>
      <c r="I10" s="574" t="s">
        <v>1658</v>
      </c>
      <c r="J10" s="575"/>
      <c r="K10" s="575"/>
      <c r="L10" s="575"/>
      <c r="M10" s="576"/>
      <c r="N10" s="577"/>
      <c r="O10" s="578" t="str">
        <f t="shared" si="2"/>
        <v> </v>
      </c>
      <c r="P10" s="579" t="str">
        <f t="shared" si="3"/>
        <v> </v>
      </c>
    </row>
    <row r="11" s="562" customFormat="1" ht="15.95" customHeight="1" spans="1:16">
      <c r="A11" s="580" t="s">
        <v>1659</v>
      </c>
      <c r="B11" s="575"/>
      <c r="C11" s="575"/>
      <c r="D11" s="575"/>
      <c r="E11" s="576"/>
      <c r="F11" s="577"/>
      <c r="G11" s="578" t="str">
        <f t="shared" si="0"/>
        <v> </v>
      </c>
      <c r="H11" s="579" t="str">
        <f t="shared" si="1"/>
        <v> </v>
      </c>
      <c r="I11" s="580" t="s">
        <v>1659</v>
      </c>
      <c r="J11" s="575"/>
      <c r="K11" s="575"/>
      <c r="L11" s="575"/>
      <c r="M11" s="576"/>
      <c r="N11" s="577"/>
      <c r="O11" s="578" t="str">
        <f t="shared" si="2"/>
        <v> </v>
      </c>
      <c r="P11" s="579" t="str">
        <f t="shared" si="3"/>
        <v> </v>
      </c>
    </row>
    <row r="12" s="562" customFormat="1" ht="15.95" customHeight="1" spans="1:16">
      <c r="A12" s="574" t="s">
        <v>1660</v>
      </c>
      <c r="B12" s="575"/>
      <c r="C12" s="575"/>
      <c r="D12" s="575"/>
      <c r="E12" s="576"/>
      <c r="F12" s="577"/>
      <c r="G12" s="578" t="str">
        <f t="shared" si="0"/>
        <v> </v>
      </c>
      <c r="H12" s="579" t="str">
        <f t="shared" si="1"/>
        <v> </v>
      </c>
      <c r="I12" s="574" t="s">
        <v>1660</v>
      </c>
      <c r="J12" s="575"/>
      <c r="K12" s="575"/>
      <c r="L12" s="575"/>
      <c r="M12" s="576"/>
      <c r="N12" s="577"/>
      <c r="O12" s="578" t="str">
        <f t="shared" si="2"/>
        <v> </v>
      </c>
      <c r="P12" s="579" t="str">
        <f t="shared" si="3"/>
        <v> </v>
      </c>
    </row>
    <row r="13" s="562" customFormat="1" ht="15.95" customHeight="1" spans="1:16">
      <c r="A13" s="580" t="s">
        <v>1661</v>
      </c>
      <c r="B13" s="575"/>
      <c r="C13" s="575"/>
      <c r="D13" s="575"/>
      <c r="E13" s="576"/>
      <c r="F13" s="577"/>
      <c r="G13" s="578" t="str">
        <f t="shared" si="0"/>
        <v> </v>
      </c>
      <c r="H13" s="579" t="str">
        <f t="shared" si="1"/>
        <v> </v>
      </c>
      <c r="I13" s="580" t="s">
        <v>1661</v>
      </c>
      <c r="J13" s="575"/>
      <c r="K13" s="575"/>
      <c r="L13" s="575"/>
      <c r="M13" s="576"/>
      <c r="N13" s="577"/>
      <c r="O13" s="578" t="str">
        <f t="shared" si="2"/>
        <v> </v>
      </c>
      <c r="P13" s="579" t="str">
        <f t="shared" si="3"/>
        <v> </v>
      </c>
    </row>
    <row r="14" s="562" customFormat="1" ht="15.95" customHeight="1" spans="1:16">
      <c r="A14" s="574" t="s">
        <v>1662</v>
      </c>
      <c r="B14" s="575"/>
      <c r="C14" s="575"/>
      <c r="D14" s="575"/>
      <c r="E14" s="576"/>
      <c r="F14" s="577"/>
      <c r="G14" s="578" t="str">
        <f t="shared" si="0"/>
        <v> </v>
      </c>
      <c r="H14" s="579" t="str">
        <f t="shared" si="1"/>
        <v> </v>
      </c>
      <c r="I14" s="574" t="s">
        <v>1662</v>
      </c>
      <c r="J14" s="575"/>
      <c r="K14" s="575"/>
      <c r="L14" s="575"/>
      <c r="M14" s="576"/>
      <c r="N14" s="577"/>
      <c r="O14" s="578" t="str">
        <f t="shared" si="2"/>
        <v> </v>
      </c>
      <c r="P14" s="579" t="str">
        <f t="shared" si="3"/>
        <v> </v>
      </c>
    </row>
    <row r="15" s="562" customFormat="1" ht="15.95" customHeight="1" spans="1:16">
      <c r="A15" s="580" t="s">
        <v>1663</v>
      </c>
      <c r="B15" s="575"/>
      <c r="C15" s="575"/>
      <c r="D15" s="575"/>
      <c r="E15" s="576"/>
      <c r="F15" s="577"/>
      <c r="G15" s="578" t="str">
        <f t="shared" si="0"/>
        <v> </v>
      </c>
      <c r="H15" s="579" t="str">
        <f t="shared" si="1"/>
        <v> </v>
      </c>
      <c r="I15" s="580" t="s">
        <v>1663</v>
      </c>
      <c r="J15" s="575"/>
      <c r="K15" s="575"/>
      <c r="L15" s="575"/>
      <c r="M15" s="576"/>
      <c r="N15" s="577"/>
      <c r="O15" s="578" t="str">
        <f t="shared" si="2"/>
        <v> </v>
      </c>
      <c r="P15" s="579" t="str">
        <f t="shared" si="3"/>
        <v> </v>
      </c>
    </row>
    <row r="16" s="562" customFormat="1" ht="15.95" customHeight="1" spans="1:16">
      <c r="A16" s="574" t="s">
        <v>1664</v>
      </c>
      <c r="B16" s="575"/>
      <c r="C16" s="575"/>
      <c r="D16" s="575"/>
      <c r="E16" s="576"/>
      <c r="F16" s="577"/>
      <c r="G16" s="578" t="str">
        <f t="shared" si="0"/>
        <v> </v>
      </c>
      <c r="H16" s="579" t="str">
        <f t="shared" si="1"/>
        <v> </v>
      </c>
      <c r="I16" s="574" t="s">
        <v>1664</v>
      </c>
      <c r="J16" s="575"/>
      <c r="K16" s="575"/>
      <c r="L16" s="575"/>
      <c r="M16" s="576"/>
      <c r="N16" s="577"/>
      <c r="O16" s="578" t="str">
        <f t="shared" si="2"/>
        <v> </v>
      </c>
      <c r="P16" s="579" t="str">
        <f t="shared" si="3"/>
        <v> </v>
      </c>
    </row>
    <row r="17" s="562" customFormat="1" ht="15.95" customHeight="1" spans="1:16">
      <c r="A17" s="580" t="s">
        <v>1665</v>
      </c>
      <c r="B17" s="575"/>
      <c r="C17" s="575"/>
      <c r="D17" s="575"/>
      <c r="E17" s="576"/>
      <c r="F17" s="577"/>
      <c r="G17" s="578" t="str">
        <f t="shared" si="0"/>
        <v> </v>
      </c>
      <c r="H17" s="579" t="str">
        <f t="shared" si="1"/>
        <v> </v>
      </c>
      <c r="I17" s="580" t="s">
        <v>1665</v>
      </c>
      <c r="J17" s="575"/>
      <c r="K17" s="575"/>
      <c r="L17" s="575"/>
      <c r="M17" s="576"/>
      <c r="N17" s="577"/>
      <c r="O17" s="578" t="str">
        <f t="shared" si="2"/>
        <v> </v>
      </c>
      <c r="P17" s="579" t="str">
        <f t="shared" si="3"/>
        <v> </v>
      </c>
    </row>
    <row r="18" s="562" customFormat="1" ht="15.95" customHeight="1" spans="1:16">
      <c r="A18" s="574" t="s">
        <v>1666</v>
      </c>
      <c r="B18" s="575"/>
      <c r="C18" s="575"/>
      <c r="D18" s="575"/>
      <c r="E18" s="576"/>
      <c r="F18" s="577"/>
      <c r="G18" s="578" t="str">
        <f t="shared" si="0"/>
        <v> </v>
      </c>
      <c r="H18" s="579" t="str">
        <f t="shared" si="1"/>
        <v> </v>
      </c>
      <c r="I18" s="574" t="s">
        <v>1666</v>
      </c>
      <c r="J18" s="575"/>
      <c r="K18" s="575"/>
      <c r="L18" s="575"/>
      <c r="M18" s="576"/>
      <c r="N18" s="577"/>
      <c r="O18" s="578" t="str">
        <f t="shared" si="2"/>
        <v> </v>
      </c>
      <c r="P18" s="579" t="str">
        <f t="shared" si="3"/>
        <v> </v>
      </c>
    </row>
    <row r="19" s="562" customFormat="1" ht="15.95" customHeight="1" spans="1:16">
      <c r="A19" s="580" t="s">
        <v>1667</v>
      </c>
      <c r="B19" s="575"/>
      <c r="C19" s="575"/>
      <c r="D19" s="575"/>
      <c r="E19" s="576"/>
      <c r="F19" s="577"/>
      <c r="G19" s="578" t="str">
        <f t="shared" si="0"/>
        <v> </v>
      </c>
      <c r="H19" s="579" t="str">
        <f t="shared" si="1"/>
        <v> </v>
      </c>
      <c r="I19" s="580" t="s">
        <v>1667</v>
      </c>
      <c r="J19" s="575"/>
      <c r="K19" s="575"/>
      <c r="L19" s="575"/>
      <c r="M19" s="576"/>
      <c r="N19" s="577"/>
      <c r="O19" s="578" t="str">
        <f t="shared" si="2"/>
        <v> </v>
      </c>
      <c r="P19" s="579" t="str">
        <f t="shared" si="3"/>
        <v> </v>
      </c>
    </row>
    <row r="20" s="562" customFormat="1" ht="15.95" customHeight="1" spans="1:18">
      <c r="A20" s="574" t="s">
        <v>1668</v>
      </c>
      <c r="B20" s="575"/>
      <c r="C20" s="575"/>
      <c r="D20" s="575"/>
      <c r="E20" s="576"/>
      <c r="F20" s="577"/>
      <c r="G20" s="578" t="str">
        <f t="shared" si="0"/>
        <v> </v>
      </c>
      <c r="H20" s="579" t="str">
        <f t="shared" si="1"/>
        <v> </v>
      </c>
      <c r="I20" s="574" t="s">
        <v>1668</v>
      </c>
      <c r="J20" s="575"/>
      <c r="K20" s="575"/>
      <c r="L20" s="575"/>
      <c r="M20" s="576"/>
      <c r="N20" s="577"/>
      <c r="O20" s="578" t="str">
        <f t="shared" si="2"/>
        <v> </v>
      </c>
      <c r="P20" s="579" t="str">
        <f t="shared" si="3"/>
        <v> </v>
      </c>
      <c r="R20" s="561"/>
    </row>
    <row r="21" s="562" customFormat="1" ht="15.95" customHeight="1" spans="1:16">
      <c r="A21" s="580" t="s">
        <v>1669</v>
      </c>
      <c r="B21" s="575"/>
      <c r="C21" s="575"/>
      <c r="D21" s="575"/>
      <c r="E21" s="576"/>
      <c r="F21" s="577"/>
      <c r="G21" s="578" t="str">
        <f t="shared" si="0"/>
        <v> </v>
      </c>
      <c r="H21" s="579" t="str">
        <f t="shared" si="1"/>
        <v> </v>
      </c>
      <c r="I21" s="580" t="s">
        <v>1669</v>
      </c>
      <c r="J21" s="575"/>
      <c r="K21" s="575"/>
      <c r="L21" s="575"/>
      <c r="M21" s="576"/>
      <c r="N21" s="577"/>
      <c r="O21" s="578" t="str">
        <f t="shared" si="2"/>
        <v> </v>
      </c>
      <c r="P21" s="579" t="str">
        <f t="shared" si="3"/>
        <v> </v>
      </c>
    </row>
    <row r="22" s="562" customFormat="1" ht="15.95" customHeight="1" spans="1:16">
      <c r="A22" s="574" t="s">
        <v>1670</v>
      </c>
      <c r="B22" s="575"/>
      <c r="C22" s="575"/>
      <c r="D22" s="575"/>
      <c r="E22" s="576"/>
      <c r="F22" s="577"/>
      <c r="G22" s="578" t="str">
        <f t="shared" si="0"/>
        <v> </v>
      </c>
      <c r="H22" s="579" t="str">
        <f t="shared" si="1"/>
        <v> </v>
      </c>
      <c r="I22" s="574" t="s">
        <v>1670</v>
      </c>
      <c r="J22" s="575"/>
      <c r="K22" s="575"/>
      <c r="L22" s="575"/>
      <c r="M22" s="576"/>
      <c r="N22" s="577"/>
      <c r="O22" s="578" t="str">
        <f t="shared" si="2"/>
        <v> </v>
      </c>
      <c r="P22" s="579" t="str">
        <f t="shared" si="3"/>
        <v> </v>
      </c>
    </row>
    <row r="23" s="562" customFormat="1" ht="15.95" customHeight="1" spans="1:16">
      <c r="A23" s="580" t="s">
        <v>1671</v>
      </c>
      <c r="B23" s="575"/>
      <c r="C23" s="575"/>
      <c r="D23" s="575"/>
      <c r="E23" s="576"/>
      <c r="F23" s="577"/>
      <c r="G23" s="578" t="str">
        <f t="shared" si="0"/>
        <v> </v>
      </c>
      <c r="H23" s="579" t="str">
        <f t="shared" si="1"/>
        <v> </v>
      </c>
      <c r="I23" s="580" t="s">
        <v>1671</v>
      </c>
      <c r="J23" s="575"/>
      <c r="K23" s="575"/>
      <c r="L23" s="575"/>
      <c r="M23" s="576"/>
      <c r="N23" s="577"/>
      <c r="O23" s="578" t="str">
        <f t="shared" si="2"/>
        <v> </v>
      </c>
      <c r="P23" s="579" t="str">
        <f t="shared" si="3"/>
        <v> </v>
      </c>
    </row>
    <row r="24" s="562" customFormat="1" ht="15.95" customHeight="1" spans="1:16">
      <c r="A24" s="574" t="s">
        <v>1672</v>
      </c>
      <c r="B24" s="575"/>
      <c r="C24" s="575"/>
      <c r="D24" s="575"/>
      <c r="E24" s="576"/>
      <c r="F24" s="577"/>
      <c r="G24" s="578" t="str">
        <f t="shared" si="0"/>
        <v> </v>
      </c>
      <c r="H24" s="579" t="str">
        <f t="shared" si="1"/>
        <v> </v>
      </c>
      <c r="I24" s="574" t="s">
        <v>1672</v>
      </c>
      <c r="J24" s="575"/>
      <c r="K24" s="575"/>
      <c r="L24" s="575"/>
      <c r="M24" s="576"/>
      <c r="N24" s="577"/>
      <c r="O24" s="578" t="str">
        <f t="shared" si="2"/>
        <v> </v>
      </c>
      <c r="P24" s="579" t="str">
        <f t="shared" si="3"/>
        <v> </v>
      </c>
    </row>
    <row r="25" s="562" customFormat="1" ht="15.95" customHeight="1" spans="1:16">
      <c r="A25" s="574" t="s">
        <v>1673</v>
      </c>
      <c r="B25" s="575"/>
      <c r="C25" s="575"/>
      <c r="D25" s="575"/>
      <c r="E25" s="576"/>
      <c r="F25" s="577"/>
      <c r="G25" s="578" t="str">
        <f t="shared" si="0"/>
        <v> </v>
      </c>
      <c r="H25" s="579" t="str">
        <f t="shared" si="1"/>
        <v> </v>
      </c>
      <c r="I25" s="574" t="s">
        <v>1673</v>
      </c>
      <c r="J25" s="575"/>
      <c r="K25" s="575"/>
      <c r="L25" s="575"/>
      <c r="M25" s="576"/>
      <c r="N25" s="577"/>
      <c r="O25" s="578" t="str">
        <f t="shared" si="2"/>
        <v> </v>
      </c>
      <c r="P25" s="579" t="str">
        <f t="shared" si="3"/>
        <v> </v>
      </c>
    </row>
    <row r="26" s="562" customFormat="1" ht="15.95" customHeight="1" spans="1:16">
      <c r="A26" s="580" t="s">
        <v>1674</v>
      </c>
      <c r="B26" s="575"/>
      <c r="C26" s="575"/>
      <c r="D26" s="575"/>
      <c r="E26" s="576"/>
      <c r="F26" s="577"/>
      <c r="G26" s="578" t="str">
        <f t="shared" si="0"/>
        <v> </v>
      </c>
      <c r="H26" s="579" t="str">
        <f t="shared" si="1"/>
        <v> </v>
      </c>
      <c r="I26" s="580" t="s">
        <v>1674</v>
      </c>
      <c r="J26" s="575"/>
      <c r="K26" s="575"/>
      <c r="L26" s="575"/>
      <c r="M26" s="576"/>
      <c r="N26" s="577"/>
      <c r="O26" s="578" t="str">
        <f t="shared" si="2"/>
        <v> </v>
      </c>
      <c r="P26" s="579" t="str">
        <f t="shared" si="3"/>
        <v> </v>
      </c>
    </row>
    <row r="27" s="562" customFormat="1" ht="15.95" customHeight="1" spans="1:16">
      <c r="A27" s="574" t="s">
        <v>1675</v>
      </c>
      <c r="B27" s="575"/>
      <c r="C27" s="575"/>
      <c r="D27" s="575"/>
      <c r="E27" s="576"/>
      <c r="F27" s="577"/>
      <c r="G27" s="578" t="str">
        <f t="shared" si="0"/>
        <v> </v>
      </c>
      <c r="H27" s="579" t="str">
        <f t="shared" si="1"/>
        <v> </v>
      </c>
      <c r="I27" s="574" t="s">
        <v>1675</v>
      </c>
      <c r="J27" s="575"/>
      <c r="K27" s="575"/>
      <c r="L27" s="575"/>
      <c r="M27" s="576"/>
      <c r="N27" s="577"/>
      <c r="O27" s="578" t="str">
        <f t="shared" si="2"/>
        <v> </v>
      </c>
      <c r="P27" s="579" t="str">
        <f t="shared" si="3"/>
        <v> </v>
      </c>
    </row>
    <row r="28" s="562" customFormat="1" ht="15.95" customHeight="1" spans="1:16">
      <c r="A28" s="580" t="s">
        <v>1676</v>
      </c>
      <c r="B28" s="575"/>
      <c r="C28" s="575"/>
      <c r="D28" s="575"/>
      <c r="E28" s="576"/>
      <c r="F28" s="577"/>
      <c r="G28" s="578" t="str">
        <f t="shared" si="0"/>
        <v> </v>
      </c>
      <c r="H28" s="579" t="str">
        <f t="shared" si="1"/>
        <v> </v>
      </c>
      <c r="I28" s="580" t="s">
        <v>1676</v>
      </c>
      <c r="J28" s="575"/>
      <c r="K28" s="575"/>
      <c r="L28" s="575"/>
      <c r="M28" s="576"/>
      <c r="N28" s="577"/>
      <c r="O28" s="578" t="str">
        <f t="shared" si="2"/>
        <v> </v>
      </c>
      <c r="P28" s="579" t="str">
        <f t="shared" si="3"/>
        <v> </v>
      </c>
    </row>
    <row r="29" s="562" customFormat="1" ht="15.95" customHeight="1" spans="1:16">
      <c r="A29" s="574" t="s">
        <v>1677</v>
      </c>
      <c r="B29" s="575"/>
      <c r="C29" s="575"/>
      <c r="D29" s="575"/>
      <c r="E29" s="576"/>
      <c r="F29" s="577"/>
      <c r="G29" s="578"/>
      <c r="H29" s="579"/>
      <c r="I29" s="574" t="s">
        <v>1677</v>
      </c>
      <c r="J29" s="575"/>
      <c r="K29" s="575"/>
      <c r="L29" s="575"/>
      <c r="M29" s="576"/>
      <c r="N29" s="577"/>
      <c r="O29" s="578"/>
      <c r="P29" s="579"/>
    </row>
    <row r="30" s="562" customFormat="1" ht="15.95" customHeight="1" spans="1:16">
      <c r="A30" s="580" t="s">
        <v>1678</v>
      </c>
      <c r="B30" s="575"/>
      <c r="C30" s="575"/>
      <c r="D30" s="575"/>
      <c r="E30" s="576"/>
      <c r="F30" s="577"/>
      <c r="G30" s="578"/>
      <c r="H30" s="579"/>
      <c r="I30" s="580" t="s">
        <v>1678</v>
      </c>
      <c r="J30" s="575"/>
      <c r="K30" s="575"/>
      <c r="L30" s="575"/>
      <c r="M30" s="576"/>
      <c r="N30" s="577"/>
      <c r="O30" s="578"/>
      <c r="P30" s="579"/>
    </row>
    <row r="31" s="562" customFormat="1" ht="15.95" customHeight="1" spans="1:16">
      <c r="A31" s="574" t="s">
        <v>1679</v>
      </c>
      <c r="B31" s="575"/>
      <c r="C31" s="575"/>
      <c r="D31" s="575"/>
      <c r="E31" s="576"/>
      <c r="F31" s="577"/>
      <c r="G31" s="578"/>
      <c r="H31" s="579"/>
      <c r="I31" s="574" t="s">
        <v>1679</v>
      </c>
      <c r="J31" s="575"/>
      <c r="K31" s="575"/>
      <c r="L31" s="575"/>
      <c r="M31" s="576"/>
      <c r="N31" s="577"/>
      <c r="O31" s="578"/>
      <c r="P31" s="579"/>
    </row>
    <row r="32" s="562" customFormat="1" ht="15.95" customHeight="1" spans="1:16">
      <c r="A32" s="580" t="s">
        <v>1680</v>
      </c>
      <c r="B32" s="575"/>
      <c r="C32" s="575"/>
      <c r="D32" s="575"/>
      <c r="E32" s="576"/>
      <c r="F32" s="577"/>
      <c r="G32" s="578"/>
      <c r="H32" s="579"/>
      <c r="I32" s="580" t="s">
        <v>1680</v>
      </c>
      <c r="J32" s="575"/>
      <c r="K32" s="575"/>
      <c r="L32" s="575"/>
      <c r="M32" s="576"/>
      <c r="N32" s="577"/>
      <c r="O32" s="578"/>
      <c r="P32" s="579"/>
    </row>
    <row r="33" s="562" customFormat="1" ht="15.95" customHeight="1" spans="1:16">
      <c r="A33" s="574" t="s">
        <v>1681</v>
      </c>
      <c r="B33" s="575"/>
      <c r="C33" s="575"/>
      <c r="D33" s="575"/>
      <c r="E33" s="576"/>
      <c r="F33" s="577"/>
      <c r="G33" s="578"/>
      <c r="H33" s="579"/>
      <c r="I33" s="574" t="s">
        <v>1681</v>
      </c>
      <c r="J33" s="575"/>
      <c r="K33" s="575"/>
      <c r="L33" s="575"/>
      <c r="M33" s="576"/>
      <c r="N33" s="577"/>
      <c r="O33" s="578"/>
      <c r="P33" s="579"/>
    </row>
    <row r="34" s="562" customFormat="1" ht="15.95" customHeight="1" spans="1:16">
      <c r="A34" s="580" t="s">
        <v>1682</v>
      </c>
      <c r="B34" s="575"/>
      <c r="C34" s="575"/>
      <c r="D34" s="575"/>
      <c r="E34" s="576"/>
      <c r="F34" s="577"/>
      <c r="G34" s="578"/>
      <c r="H34" s="579"/>
      <c r="I34" s="580" t="s">
        <v>1682</v>
      </c>
      <c r="J34" s="575"/>
      <c r="K34" s="575"/>
      <c r="L34" s="575"/>
      <c r="M34" s="576"/>
      <c r="N34" s="577"/>
      <c r="O34" s="578"/>
      <c r="P34" s="579"/>
    </row>
    <row r="35" s="562" customFormat="1" ht="15.95" customHeight="1" spans="1:16">
      <c r="A35" s="574" t="s">
        <v>1683</v>
      </c>
      <c r="B35" s="575"/>
      <c r="C35" s="575"/>
      <c r="D35" s="575"/>
      <c r="E35" s="576"/>
      <c r="F35" s="577"/>
      <c r="G35" s="578"/>
      <c r="H35" s="579"/>
      <c r="I35" s="574" t="s">
        <v>1683</v>
      </c>
      <c r="J35" s="575"/>
      <c r="K35" s="575"/>
      <c r="L35" s="575"/>
      <c r="M35" s="576"/>
      <c r="N35" s="577"/>
      <c r="O35" s="578"/>
      <c r="P35" s="579"/>
    </row>
    <row r="36" s="562" customFormat="1" ht="15.95" customHeight="1" spans="1:16">
      <c r="A36" s="580" t="s">
        <v>1684</v>
      </c>
      <c r="B36" s="575"/>
      <c r="C36" s="575"/>
      <c r="D36" s="575"/>
      <c r="E36" s="576"/>
      <c r="F36" s="577"/>
      <c r="G36" s="578"/>
      <c r="H36" s="579"/>
      <c r="I36" s="580" t="s">
        <v>1684</v>
      </c>
      <c r="J36" s="575"/>
      <c r="K36" s="575"/>
      <c r="L36" s="575"/>
      <c r="M36" s="576"/>
      <c r="N36" s="577"/>
      <c r="O36" s="578"/>
      <c r="P36" s="579"/>
    </row>
    <row r="37" s="562" customFormat="1" ht="15.95" customHeight="1" spans="1:16">
      <c r="A37" s="574" t="s">
        <v>1685</v>
      </c>
      <c r="B37" s="575"/>
      <c r="C37" s="575"/>
      <c r="D37" s="575"/>
      <c r="E37" s="576"/>
      <c r="F37" s="577"/>
      <c r="G37" s="578"/>
      <c r="H37" s="579"/>
      <c r="I37" s="574" t="s">
        <v>1685</v>
      </c>
      <c r="J37" s="575"/>
      <c r="K37" s="575"/>
      <c r="L37" s="575"/>
      <c r="M37" s="576"/>
      <c r="N37" s="577"/>
      <c r="O37" s="578"/>
      <c r="P37" s="579"/>
    </row>
    <row r="38" s="562" customFormat="1" ht="15.95" customHeight="1" spans="1:16">
      <c r="A38" s="580" t="s">
        <v>1686</v>
      </c>
      <c r="B38" s="575"/>
      <c r="C38" s="575"/>
      <c r="D38" s="575"/>
      <c r="E38" s="576"/>
      <c r="F38" s="577"/>
      <c r="G38" s="578"/>
      <c r="H38" s="579"/>
      <c r="I38" s="580" t="s">
        <v>1686</v>
      </c>
      <c r="J38" s="575"/>
      <c r="K38" s="575"/>
      <c r="L38" s="575"/>
      <c r="M38" s="576"/>
      <c r="N38" s="577"/>
      <c r="O38" s="578"/>
      <c r="P38" s="579"/>
    </row>
    <row r="39" s="562" customFormat="1" ht="15.95" customHeight="1" spans="1:16">
      <c r="A39" s="574" t="s">
        <v>1687</v>
      </c>
      <c r="B39" s="575"/>
      <c r="C39" s="575"/>
      <c r="D39" s="575"/>
      <c r="E39" s="576"/>
      <c r="F39" s="577"/>
      <c r="G39" s="578"/>
      <c r="H39" s="579"/>
      <c r="I39" s="574" t="s">
        <v>1687</v>
      </c>
      <c r="J39" s="575"/>
      <c r="K39" s="575"/>
      <c r="L39" s="575"/>
      <c r="M39" s="576"/>
      <c r="N39" s="577"/>
      <c r="O39" s="578"/>
      <c r="P39" s="579"/>
    </row>
    <row r="40" s="562" customFormat="1" ht="15.95" customHeight="1" spans="1:16">
      <c r="A40" s="574" t="s">
        <v>1688</v>
      </c>
      <c r="B40" s="575"/>
      <c r="C40" s="575"/>
      <c r="D40" s="575"/>
      <c r="E40" s="576"/>
      <c r="F40" s="577"/>
      <c r="G40" s="578"/>
      <c r="H40" s="579"/>
      <c r="I40" s="574" t="s">
        <v>1688</v>
      </c>
      <c r="J40" s="575"/>
      <c r="K40" s="575"/>
      <c r="L40" s="575"/>
      <c r="M40" s="576"/>
      <c r="N40" s="577"/>
      <c r="O40" s="578"/>
      <c r="P40" s="579"/>
    </row>
    <row r="41" s="562" customFormat="1" ht="15.95" customHeight="1" spans="1:16">
      <c r="A41" s="580" t="s">
        <v>1689</v>
      </c>
      <c r="B41" s="575"/>
      <c r="C41" s="575"/>
      <c r="D41" s="575"/>
      <c r="E41" s="576"/>
      <c r="F41" s="577"/>
      <c r="G41" s="578"/>
      <c r="H41" s="579"/>
      <c r="I41" s="580" t="s">
        <v>1689</v>
      </c>
      <c r="J41" s="575"/>
      <c r="K41" s="575"/>
      <c r="L41" s="575"/>
      <c r="M41" s="576"/>
      <c r="N41" s="577"/>
      <c r="O41" s="578"/>
      <c r="P41" s="579"/>
    </row>
    <row r="42" s="562" customFormat="1" ht="15.95" customHeight="1" spans="1:16">
      <c r="A42" s="574" t="s">
        <v>1690</v>
      </c>
      <c r="B42" s="575"/>
      <c r="C42" s="575"/>
      <c r="D42" s="575"/>
      <c r="E42" s="576"/>
      <c r="F42" s="577"/>
      <c r="G42" s="578"/>
      <c r="H42" s="579"/>
      <c r="I42" s="574" t="s">
        <v>1690</v>
      </c>
      <c r="J42" s="575"/>
      <c r="K42" s="575"/>
      <c r="L42" s="575"/>
      <c r="M42" s="576"/>
      <c r="N42" s="577"/>
      <c r="O42" s="578"/>
      <c r="P42" s="579"/>
    </row>
    <row r="43" s="562" customFormat="1" ht="15.95" customHeight="1" spans="1:16">
      <c r="A43" s="580" t="s">
        <v>1691</v>
      </c>
      <c r="B43" s="575"/>
      <c r="C43" s="575"/>
      <c r="D43" s="575"/>
      <c r="E43" s="576"/>
      <c r="F43" s="577"/>
      <c r="G43" s="578"/>
      <c r="H43" s="579"/>
      <c r="I43" s="580" t="s">
        <v>1691</v>
      </c>
      <c r="J43" s="575"/>
      <c r="K43" s="575"/>
      <c r="L43" s="575"/>
      <c r="M43" s="576"/>
      <c r="N43" s="577"/>
      <c r="O43" s="578"/>
      <c r="P43" s="579"/>
    </row>
    <row r="44" s="562" customFormat="1" ht="15.95" customHeight="1" spans="1:16">
      <c r="A44" s="574" t="s">
        <v>1692</v>
      </c>
      <c r="B44" s="575"/>
      <c r="C44" s="575"/>
      <c r="D44" s="575"/>
      <c r="E44" s="576"/>
      <c r="F44" s="577"/>
      <c r="G44" s="578"/>
      <c r="H44" s="579"/>
      <c r="I44" s="574" t="s">
        <v>1692</v>
      </c>
      <c r="J44" s="575"/>
      <c r="K44" s="575"/>
      <c r="L44" s="575"/>
      <c r="M44" s="576"/>
      <c r="N44" s="577"/>
      <c r="O44" s="578"/>
      <c r="P44" s="579"/>
    </row>
    <row r="45" s="562" customFormat="1" ht="15.95" customHeight="1" spans="1:16">
      <c r="A45" s="580" t="s">
        <v>1693</v>
      </c>
      <c r="B45" s="575"/>
      <c r="C45" s="575"/>
      <c r="D45" s="575"/>
      <c r="E45" s="576"/>
      <c r="F45" s="577"/>
      <c r="G45" s="578"/>
      <c r="H45" s="579"/>
      <c r="I45" s="580" t="s">
        <v>1693</v>
      </c>
      <c r="J45" s="575"/>
      <c r="K45" s="575"/>
      <c r="L45" s="575"/>
      <c r="M45" s="576"/>
      <c r="N45" s="577"/>
      <c r="O45" s="578"/>
      <c r="P45" s="579"/>
    </row>
    <row r="46" s="562" customFormat="1" ht="15.95" customHeight="1" spans="1:16">
      <c r="A46" s="574" t="s">
        <v>1694</v>
      </c>
      <c r="B46" s="575"/>
      <c r="C46" s="575"/>
      <c r="D46" s="575"/>
      <c r="E46" s="576"/>
      <c r="F46" s="577"/>
      <c r="G46" s="578"/>
      <c r="H46" s="579"/>
      <c r="I46" s="574" t="s">
        <v>1694</v>
      </c>
      <c r="J46" s="575"/>
      <c r="K46" s="575"/>
      <c r="L46" s="575"/>
      <c r="M46" s="576"/>
      <c r="N46" s="577"/>
      <c r="O46" s="578"/>
      <c r="P46" s="579"/>
    </row>
    <row r="47" s="562" customFormat="1" ht="15.95" customHeight="1" spans="1:16">
      <c r="A47" s="580" t="s">
        <v>1695</v>
      </c>
      <c r="B47" s="575"/>
      <c r="C47" s="575"/>
      <c r="D47" s="575"/>
      <c r="E47" s="576"/>
      <c r="F47" s="577"/>
      <c r="G47" s="578"/>
      <c r="H47" s="579"/>
      <c r="I47" s="580" t="s">
        <v>1695</v>
      </c>
      <c r="J47" s="575"/>
      <c r="K47" s="575"/>
      <c r="L47" s="575"/>
      <c r="M47" s="576"/>
      <c r="N47" s="577"/>
      <c r="O47" s="578"/>
      <c r="P47" s="579"/>
    </row>
    <row r="48" s="562" customFormat="1" ht="15.95" customHeight="1" spans="1:16">
      <c r="A48" s="574" t="s">
        <v>1696</v>
      </c>
      <c r="B48" s="575"/>
      <c r="C48" s="575"/>
      <c r="D48" s="575"/>
      <c r="E48" s="576"/>
      <c r="F48" s="577"/>
      <c r="G48" s="578"/>
      <c r="H48" s="579"/>
      <c r="I48" s="574" t="s">
        <v>1696</v>
      </c>
      <c r="J48" s="575"/>
      <c r="K48" s="575"/>
      <c r="L48" s="575"/>
      <c r="M48" s="576"/>
      <c r="N48" s="577"/>
      <c r="O48" s="578"/>
      <c r="P48" s="579"/>
    </row>
    <row r="49" s="562" customFormat="1" ht="15.95" customHeight="1" spans="1:16">
      <c r="A49" s="580" t="s">
        <v>1697</v>
      </c>
      <c r="B49" s="575"/>
      <c r="C49" s="575"/>
      <c r="D49" s="575"/>
      <c r="E49" s="576"/>
      <c r="F49" s="577"/>
      <c r="G49" s="578"/>
      <c r="H49" s="579"/>
      <c r="I49" s="580" t="s">
        <v>1697</v>
      </c>
      <c r="J49" s="575"/>
      <c r="K49" s="575"/>
      <c r="L49" s="575"/>
      <c r="M49" s="576"/>
      <c r="N49" s="577"/>
      <c r="O49" s="578"/>
      <c r="P49" s="579"/>
    </row>
    <row r="50" s="562" customFormat="1" ht="15.95" customHeight="1" spans="1:16">
      <c r="A50" s="574" t="s">
        <v>1698</v>
      </c>
      <c r="B50" s="575"/>
      <c r="C50" s="575"/>
      <c r="D50" s="575"/>
      <c r="E50" s="576"/>
      <c r="F50" s="577"/>
      <c r="G50" s="578"/>
      <c r="H50" s="579"/>
      <c r="I50" s="574" t="s">
        <v>1698</v>
      </c>
      <c r="J50" s="575"/>
      <c r="K50" s="575"/>
      <c r="L50" s="575"/>
      <c r="M50" s="576"/>
      <c r="N50" s="577"/>
      <c r="O50" s="578"/>
      <c r="P50" s="579"/>
    </row>
    <row r="51" s="562" customFormat="1" ht="15.95" customHeight="1" spans="1:16">
      <c r="A51" s="580" t="s">
        <v>1699</v>
      </c>
      <c r="B51" s="575"/>
      <c r="C51" s="575"/>
      <c r="D51" s="575"/>
      <c r="E51" s="576"/>
      <c r="F51" s="577"/>
      <c r="G51" s="578"/>
      <c r="H51" s="579"/>
      <c r="I51" s="580" t="s">
        <v>1699</v>
      </c>
      <c r="J51" s="575"/>
      <c r="K51" s="575"/>
      <c r="L51" s="575"/>
      <c r="M51" s="576"/>
      <c r="N51" s="577"/>
      <c r="O51" s="578"/>
      <c r="P51" s="579"/>
    </row>
    <row r="52" s="562" customFormat="1" ht="15.95" customHeight="1" spans="1:16">
      <c r="A52" s="574" t="s">
        <v>1700</v>
      </c>
      <c r="B52" s="575"/>
      <c r="C52" s="575"/>
      <c r="D52" s="575"/>
      <c r="E52" s="576"/>
      <c r="F52" s="577"/>
      <c r="G52" s="578"/>
      <c r="H52" s="579"/>
      <c r="I52" s="574" t="s">
        <v>1700</v>
      </c>
      <c r="J52" s="575"/>
      <c r="K52" s="575"/>
      <c r="L52" s="575"/>
      <c r="M52" s="576"/>
      <c r="N52" s="577"/>
      <c r="O52" s="578"/>
      <c r="P52" s="579"/>
    </row>
    <row r="53" s="562" customFormat="1" ht="15.95" customHeight="1" spans="1:16">
      <c r="A53" s="580" t="s">
        <v>1701</v>
      </c>
      <c r="B53" s="575"/>
      <c r="C53" s="575"/>
      <c r="D53" s="575"/>
      <c r="E53" s="576"/>
      <c r="F53" s="577"/>
      <c r="G53" s="578"/>
      <c r="H53" s="579"/>
      <c r="I53" s="580" t="s">
        <v>1701</v>
      </c>
      <c r="J53" s="575"/>
      <c r="K53" s="575"/>
      <c r="L53" s="575"/>
      <c r="M53" s="576"/>
      <c r="N53" s="577"/>
      <c r="O53" s="578"/>
      <c r="P53" s="579"/>
    </row>
    <row r="54" s="562" customFormat="1" ht="15.95" customHeight="1" spans="1:16">
      <c r="A54" s="574" t="s">
        <v>1702</v>
      </c>
      <c r="B54" s="581"/>
      <c r="C54" s="581"/>
      <c r="D54" s="581"/>
      <c r="E54" s="582"/>
      <c r="F54" s="583"/>
      <c r="G54" s="584"/>
      <c r="H54" s="585"/>
      <c r="I54" s="574" t="s">
        <v>1702</v>
      </c>
      <c r="J54" s="581"/>
      <c r="K54" s="581"/>
      <c r="L54" s="581"/>
      <c r="M54" s="582"/>
      <c r="N54" s="583"/>
      <c r="O54" s="584"/>
      <c r="P54" s="585"/>
    </row>
    <row r="55" s="562" customFormat="1" ht="15.95" customHeight="1" spans="1:16">
      <c r="A55" s="586"/>
      <c r="B55" s="587"/>
      <c r="C55" s="587"/>
      <c r="D55" s="587"/>
      <c r="E55" s="588"/>
      <c r="F55" s="589"/>
      <c r="G55" s="590"/>
      <c r="H55" s="591"/>
      <c r="I55"/>
      <c r="J55" s="587"/>
      <c r="K55" s="587"/>
      <c r="L55" s="587"/>
      <c r="M55" s="588"/>
      <c r="N55" s="589"/>
      <c r="O55" s="590"/>
      <c r="P55" s="591"/>
    </row>
    <row r="56" s="562" customFormat="1" ht="15.95" customHeight="1" spans="1:16">
      <c r="A56" s="592" t="s">
        <v>1703</v>
      </c>
      <c r="B56" s="592"/>
      <c r="C56" s="592"/>
      <c r="D56" s="592"/>
      <c r="E56" s="592"/>
      <c r="F56" s="592"/>
      <c r="G56" s="592"/>
      <c r="H56" s="592"/>
      <c r="I56" s="592"/>
      <c r="J56" s="592"/>
      <c r="K56" s="592"/>
      <c r="L56" s="592"/>
      <c r="M56" s="592"/>
      <c r="N56" s="592"/>
      <c r="O56" s="592"/>
      <c r="P56" s="592"/>
    </row>
    <row r="57" s="562" customFormat="1" ht="15.95" customHeight="1" spans="1:16">
      <c r="A57" s="593"/>
      <c r="B57" s="593"/>
      <c r="C57" s="593"/>
      <c r="D57" s="593"/>
      <c r="E57" s="593"/>
      <c r="F57" s="593"/>
      <c r="G57" s="593"/>
      <c r="H57" s="593"/>
      <c r="I57" s="593"/>
      <c r="J57" s="593"/>
      <c r="K57" s="593"/>
      <c r="L57" s="593"/>
      <c r="M57" s="593"/>
      <c r="N57" s="593"/>
      <c r="O57" s="593"/>
      <c r="P57" s="593"/>
    </row>
    <row r="58" s="560" customFormat="1" ht="15.95" customHeight="1" spans="1:16">
      <c r="A58" s="594"/>
      <c r="B58" s="595"/>
      <c r="C58" s="595"/>
      <c r="D58" s="595"/>
      <c r="E58" s="595"/>
      <c r="F58" s="595"/>
      <c r="G58" s="595"/>
      <c r="H58" s="595"/>
      <c r="I58" s="595"/>
      <c r="J58" s="595"/>
      <c r="K58" s="595"/>
      <c r="L58" s="595"/>
      <c r="M58" s="595"/>
      <c r="N58" s="595"/>
      <c r="O58" s="595"/>
      <c r="P58" s="600"/>
    </row>
    <row r="59" s="560" customFormat="1" ht="15.95" customHeight="1" spans="1:16">
      <c r="A59" s="596"/>
      <c r="B59" s="597"/>
      <c r="C59" s="597"/>
      <c r="D59" s="597"/>
      <c r="E59" s="597"/>
      <c r="F59" s="597"/>
      <c r="G59" s="597"/>
      <c r="H59" s="597"/>
      <c r="I59" s="597"/>
      <c r="J59" s="597"/>
      <c r="K59" s="597"/>
      <c r="L59" s="597"/>
      <c r="M59" s="597"/>
      <c r="N59" s="597"/>
      <c r="O59" s="597"/>
      <c r="P59" s="601"/>
    </row>
    <row r="60" s="560" customFormat="1" ht="15.95" customHeight="1" spans="1:16">
      <c r="A60" s="596"/>
      <c r="B60" s="597"/>
      <c r="C60" s="597"/>
      <c r="D60" s="597"/>
      <c r="E60" s="597"/>
      <c r="F60" s="597"/>
      <c r="G60" s="597"/>
      <c r="H60" s="597"/>
      <c r="I60" s="597"/>
      <c r="J60" s="597"/>
      <c r="K60" s="597"/>
      <c r="L60" s="597"/>
      <c r="M60" s="597"/>
      <c r="N60" s="597"/>
      <c r="O60" s="597"/>
      <c r="P60" s="601"/>
    </row>
    <row r="61" s="560" customFormat="1" ht="15.95" customHeight="1" spans="1:16">
      <c r="A61" s="596"/>
      <c r="B61" s="597"/>
      <c r="C61" s="597"/>
      <c r="D61" s="597"/>
      <c r="E61" s="597"/>
      <c r="F61" s="597"/>
      <c r="G61" s="597"/>
      <c r="H61" s="597"/>
      <c r="I61" s="597"/>
      <c r="J61" s="597"/>
      <c r="K61" s="597"/>
      <c r="L61" s="597"/>
      <c r="M61" s="597"/>
      <c r="N61" s="597"/>
      <c r="O61" s="597"/>
      <c r="P61" s="601"/>
    </row>
    <row r="62" s="560" customFormat="1" ht="15.95" customHeight="1" spans="1:16">
      <c r="A62" s="596"/>
      <c r="B62" s="597"/>
      <c r="C62" s="597"/>
      <c r="D62" s="597"/>
      <c r="E62" s="597"/>
      <c r="F62" s="597"/>
      <c r="G62" s="597"/>
      <c r="H62" s="597"/>
      <c r="I62" s="597"/>
      <c r="J62" s="597"/>
      <c r="K62" s="597"/>
      <c r="L62" s="597"/>
      <c r="M62" s="597"/>
      <c r="N62" s="597"/>
      <c r="O62" s="597"/>
      <c r="P62" s="601"/>
    </row>
    <row r="63" s="560" customFormat="1" ht="15.95" customHeight="1" spans="1:16">
      <c r="A63" s="596"/>
      <c r="B63" s="597"/>
      <c r="C63" s="597"/>
      <c r="D63" s="597"/>
      <c r="E63" s="597"/>
      <c r="F63" s="597"/>
      <c r="G63" s="597"/>
      <c r="H63" s="597"/>
      <c r="I63" s="597"/>
      <c r="J63" s="597"/>
      <c r="K63" s="597"/>
      <c r="L63" s="597"/>
      <c r="M63" s="597"/>
      <c r="N63" s="597"/>
      <c r="O63" s="597"/>
      <c r="P63" s="601"/>
    </row>
    <row r="64" s="560" customFormat="1" ht="15.95" customHeight="1" spans="1:16">
      <c r="A64" s="596"/>
      <c r="B64" s="597"/>
      <c r="C64" s="597"/>
      <c r="D64" s="597"/>
      <c r="E64" s="597"/>
      <c r="F64" s="597"/>
      <c r="G64" s="597"/>
      <c r="H64" s="597"/>
      <c r="I64" s="597"/>
      <c r="J64" s="597"/>
      <c r="K64" s="597"/>
      <c r="L64" s="597"/>
      <c r="M64" s="597"/>
      <c r="N64" s="597"/>
      <c r="O64" s="597"/>
      <c r="P64" s="601"/>
    </row>
    <row r="65" s="560" customFormat="1" ht="15.95" customHeight="1" spans="1:16">
      <c r="A65" s="602"/>
      <c r="B65" s="603"/>
      <c r="C65" s="603"/>
      <c r="D65" s="603"/>
      <c r="E65" s="603"/>
      <c r="F65" s="603"/>
      <c r="G65" s="603"/>
      <c r="H65" s="603"/>
      <c r="I65" s="603"/>
      <c r="J65" s="603"/>
      <c r="K65" s="603"/>
      <c r="L65" s="603"/>
      <c r="M65" s="603"/>
      <c r="N65" s="603"/>
      <c r="O65" s="603"/>
      <c r="P65" s="608"/>
    </row>
    <row r="66" spans="1:16">
      <c r="A66" s="604"/>
      <c r="B66" s="605"/>
      <c r="C66" s="605"/>
      <c r="D66" s="605"/>
      <c r="E66" s="605"/>
      <c r="F66" s="605"/>
      <c r="G66" s="606"/>
      <c r="H66" s="607"/>
      <c r="I66" s="606"/>
      <c r="J66" s="605"/>
      <c r="K66" s="605"/>
      <c r="L66" s="605"/>
      <c r="M66" s="605"/>
      <c r="N66" s="605"/>
      <c r="O66" s="609"/>
      <c r="P66" s="607" t="s">
        <v>1704</v>
      </c>
    </row>
  </sheetData>
  <mergeCells count="10">
    <mergeCell ref="A1:P1"/>
    <mergeCell ref="A2:P2"/>
    <mergeCell ref="B3:G3"/>
    <mergeCell ref="J3:O3"/>
    <mergeCell ref="A3:A4"/>
    <mergeCell ref="H3:H4"/>
    <mergeCell ref="I3:I4"/>
    <mergeCell ref="P3:P4"/>
    <mergeCell ref="A58:P65"/>
    <mergeCell ref="A56:P57"/>
  </mergeCells>
  <conditionalFormatting sqref="O5:O55">
    <cfRule type="cellIs" dxfId="0" priority="17" stopIfTrue="1" operator="lessThan">
      <formula>10000</formula>
    </cfRule>
  </conditionalFormatting>
  <conditionalFormatting sqref="A40 A5 A20 A35">
    <cfRule type="cellIs" dxfId="0" priority="9" stopIfTrue="1" operator="lessThan">
      <formula>10000</formula>
    </cfRule>
  </conditionalFormatting>
  <conditionalFormatting sqref="G5:H55">
    <cfRule type="cellIs" dxfId="0" priority="20" stopIfTrue="1" operator="lessThan">
      <formula>10000</formula>
    </cfRule>
  </conditionalFormatting>
  <conditionalFormatting sqref="H5:H55 P5:P55">
    <cfRule type="cellIs" dxfId="1" priority="18" stopIfTrue="1" operator="equal">
      <formula>"OK"</formula>
    </cfRule>
    <cfRule type="cellIs" dxfId="2" priority="19" stopIfTrue="1" operator="equal">
      <formula>"NG"</formula>
    </cfRule>
  </conditionalFormatting>
  <conditionalFormatting sqref="I40 I5 I20 I35">
    <cfRule type="cellIs" dxfId="0" priority="1" stopIfTrue="1" operator="lessThan">
      <formula>10000</formula>
    </cfRule>
  </conditionalFormatting>
  <conditionalFormatting sqref="A42 A7 A22 A37">
    <cfRule type="cellIs" dxfId="0" priority="10" stopIfTrue="1" operator="lessThan">
      <formula>10000</formula>
    </cfRule>
  </conditionalFormatting>
  <conditionalFormatting sqref="I42 I7 I22 I37">
    <cfRule type="cellIs" dxfId="0" priority="2" stopIfTrue="1" operator="lessThan">
      <formula>10000</formula>
    </cfRule>
  </conditionalFormatting>
  <conditionalFormatting sqref="A44 A9 A24 A39">
    <cfRule type="cellIs" dxfId="0" priority="11" stopIfTrue="1" operator="lessThan">
      <formula>10000</formula>
    </cfRule>
  </conditionalFormatting>
  <conditionalFormatting sqref="I44 I9 I24 I39">
    <cfRule type="cellIs" dxfId="0" priority="3" stopIfTrue="1" operator="lessThan">
      <formula>10000</formula>
    </cfRule>
  </conditionalFormatting>
  <conditionalFormatting sqref="A46 A11 A26">
    <cfRule type="cellIs" dxfId="0" priority="12" stopIfTrue="1" operator="lessThan">
      <formula>10000</formula>
    </cfRule>
  </conditionalFormatting>
  <conditionalFormatting sqref="I46 I11 I26">
    <cfRule type="cellIs" dxfId="0" priority="4" stopIfTrue="1" operator="lessThan">
      <formula>10000</formula>
    </cfRule>
  </conditionalFormatting>
  <conditionalFormatting sqref="A48 A13 A28">
    <cfRule type="cellIs" dxfId="0" priority="13" stopIfTrue="1" operator="lessThan">
      <formula>10000</formula>
    </cfRule>
  </conditionalFormatting>
  <conditionalFormatting sqref="I48 I13 I28">
    <cfRule type="cellIs" dxfId="0" priority="5" stopIfTrue="1" operator="lessThan">
      <formula>10000</formula>
    </cfRule>
  </conditionalFormatting>
  <conditionalFormatting sqref="A50 A15 A30">
    <cfRule type="cellIs" dxfId="0" priority="14" stopIfTrue="1" operator="lessThan">
      <formula>10000</formula>
    </cfRule>
  </conditionalFormatting>
  <conditionalFormatting sqref="I50 I15 I30">
    <cfRule type="cellIs" dxfId="0" priority="6" stopIfTrue="1" operator="lessThan">
      <formula>10000</formula>
    </cfRule>
  </conditionalFormatting>
  <conditionalFormatting sqref="A52 A17 A32">
    <cfRule type="cellIs" dxfId="0" priority="15" stopIfTrue="1" operator="lessThan">
      <formula>10000</formula>
    </cfRule>
  </conditionalFormatting>
  <conditionalFormatting sqref="I52 I17 I32">
    <cfRule type="cellIs" dxfId="0" priority="7" stopIfTrue="1" operator="lessThan">
      <formula>10000</formula>
    </cfRule>
  </conditionalFormatting>
  <conditionalFormatting sqref="A54 A19 A34">
    <cfRule type="cellIs" dxfId="0" priority="16" stopIfTrue="1" operator="lessThan">
      <formula>10000</formula>
    </cfRule>
  </conditionalFormatting>
  <conditionalFormatting sqref="I54 I19 I34">
    <cfRule type="cellIs" dxfId="0" priority="8" stopIfTrue="1" operator="lessThan">
      <formula>10000</formula>
    </cfRule>
  </conditionalFormatting>
  <hyperlinks>
    <hyperlink ref="A1" location="Catalogue!A1" display="Back"/>
    <hyperlink ref="A1:P1" location="目录!A1" display="Back"/>
  </hyperlink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4"/>
  <sheetViews>
    <sheetView zoomScaleSheetLayoutView="115" workbookViewId="0">
      <selection activeCell="N15" sqref="N15"/>
    </sheetView>
  </sheetViews>
  <sheetFormatPr defaultColWidth="9" defaultRowHeight="15"/>
  <cols>
    <col min="1" max="1" width="6.125" style="508" customWidth="1"/>
    <col min="2" max="5" width="6.875" style="508" customWidth="1"/>
    <col min="6" max="6" width="7.75" style="508" customWidth="1"/>
    <col min="7" max="7" width="7.5" style="508" customWidth="1"/>
    <col min="8" max="11" width="6.875" style="508" customWidth="1"/>
    <col min="12" max="12" width="6.125" style="508" customWidth="1"/>
    <col min="13" max="13" width="9" customWidth="1"/>
    <col min="14" max="16384" width="9" style="508"/>
  </cols>
  <sheetData>
    <row r="1" ht="15.75" spans="1:12">
      <c r="A1" s="3" t="s">
        <v>880</v>
      </c>
      <c r="B1" s="3"/>
      <c r="C1" s="3"/>
      <c r="D1" s="3"/>
      <c r="E1" s="3"/>
      <c r="F1" s="3"/>
      <c r="G1" s="3"/>
      <c r="H1" s="3"/>
      <c r="I1" s="3"/>
      <c r="J1" s="3"/>
      <c r="K1" s="3"/>
      <c r="L1" s="3"/>
    </row>
    <row r="2" ht="56.1" customHeight="1" spans="1:16">
      <c r="A2" s="509" t="str">
        <f>IF(目录!G2="中文",对照!AI2,IF(目录!G2="English",对照!AJ2,对照!AI2))</f>
        <v>模具冷却均匀性测试
Water Circuit Temperature Report</v>
      </c>
      <c r="B2" s="510"/>
      <c r="C2" s="510"/>
      <c r="D2" s="510"/>
      <c r="E2" s="510"/>
      <c r="F2" s="510"/>
      <c r="G2" s="510"/>
      <c r="H2" s="510"/>
      <c r="I2" s="510"/>
      <c r="J2" s="510"/>
      <c r="K2" s="510"/>
      <c r="L2" s="510"/>
      <c r="N2" s="510"/>
      <c r="O2" s="510"/>
      <c r="P2" s="510"/>
    </row>
    <row r="3" ht="15.95" customHeight="1" spans="1:16">
      <c r="A3" s="511"/>
      <c r="B3" s="512"/>
      <c r="C3" s="512"/>
      <c r="D3" s="512"/>
      <c r="E3" s="512"/>
      <c r="F3" s="512"/>
      <c r="G3" s="512"/>
      <c r="H3" s="512"/>
      <c r="I3" s="512"/>
      <c r="J3" s="512"/>
      <c r="K3" s="512"/>
      <c r="L3" s="550"/>
      <c r="N3" s="510"/>
      <c r="O3" s="510"/>
      <c r="P3" s="510"/>
    </row>
    <row r="4" ht="15.95" customHeight="1" spans="1:16">
      <c r="A4" s="513"/>
      <c r="B4" s="514"/>
      <c r="C4" s="510"/>
      <c r="D4" s="510"/>
      <c r="E4" s="510"/>
      <c r="F4" s="510"/>
      <c r="G4" s="510"/>
      <c r="H4" s="510"/>
      <c r="I4" s="514"/>
      <c r="J4" s="510"/>
      <c r="K4" s="510"/>
      <c r="L4" s="551"/>
      <c r="N4" s="510"/>
      <c r="O4" s="510"/>
      <c r="P4" s="510"/>
    </row>
    <row r="5" ht="15.95" customHeight="1" spans="1:14">
      <c r="A5" s="515"/>
      <c r="B5" s="516" t="str">
        <f>IF(目录!G2="中文",对照!AI3,IF(目录!G2="English",对照!AJ3,对照!AI3))</f>
        <v>型腔</v>
      </c>
      <c r="C5" s="516"/>
      <c r="D5" s="516"/>
      <c r="E5" s="516"/>
      <c r="F5" s="517"/>
      <c r="G5" s="517"/>
      <c r="H5" s="516" t="str">
        <f>IF(目录!G2="中文",对照!AI4,IF(目录!G2="English",对照!AJ4,对照!AI4))</f>
        <v>型芯</v>
      </c>
      <c r="I5" s="516"/>
      <c r="J5" s="516"/>
      <c r="K5" s="516"/>
      <c r="L5" s="552"/>
      <c r="N5"/>
    </row>
    <row r="6" ht="15.95" customHeight="1" spans="1:12">
      <c r="A6" s="515"/>
      <c r="B6" s="517"/>
      <c r="C6" s="516" t="s">
        <v>1705</v>
      </c>
      <c r="D6" s="516"/>
      <c r="E6" s="517"/>
      <c r="F6" s="517"/>
      <c r="G6" s="517"/>
      <c r="H6" s="517"/>
      <c r="I6" s="516" t="s">
        <v>1705</v>
      </c>
      <c r="J6" s="516"/>
      <c r="K6" s="517"/>
      <c r="L6" s="552"/>
    </row>
    <row r="7" ht="15.95" customHeight="1" spans="1:12">
      <c r="A7" s="518"/>
      <c r="B7" s="519"/>
      <c r="C7" s="519"/>
      <c r="D7" s="519"/>
      <c r="E7" s="519"/>
      <c r="F7" s="519"/>
      <c r="G7" s="519"/>
      <c r="H7" s="519"/>
      <c r="I7" s="519"/>
      <c r="J7" s="519"/>
      <c r="K7" s="519"/>
      <c r="L7" s="553"/>
    </row>
    <row r="8" ht="15.95" customHeight="1" spans="1:12">
      <c r="A8" s="518"/>
      <c r="B8" s="520"/>
      <c r="C8" s="520"/>
      <c r="D8" s="520"/>
      <c r="E8" s="520"/>
      <c r="F8" s="521" t="str">
        <f>IF(目录!G2="中文",对照!AI5,IF(目录!G2="English",对照!AJ5,对照!AI5))</f>
        <v>Operator Side
操作侧</v>
      </c>
      <c r="G8" s="521" t="str">
        <f>IF(目录!G2="中文",对照!AI5,IF(目录!G2="English",对照!AJ5,对照!AI5))</f>
        <v>Operator Side
操作侧</v>
      </c>
      <c r="H8" s="522"/>
      <c r="I8" s="522"/>
      <c r="J8" s="522"/>
      <c r="K8" s="522"/>
      <c r="L8" s="553"/>
    </row>
    <row r="9" ht="15.95" customHeight="1" spans="1:12">
      <c r="A9" s="518"/>
      <c r="B9" s="520"/>
      <c r="C9" s="520"/>
      <c r="D9" s="520"/>
      <c r="E9" s="520"/>
      <c r="F9" s="523"/>
      <c r="G9" s="523"/>
      <c r="H9" s="522"/>
      <c r="I9" s="522"/>
      <c r="J9" s="522"/>
      <c r="K9" s="522"/>
      <c r="L9" s="553"/>
    </row>
    <row r="10" ht="15.95" customHeight="1" spans="1:12">
      <c r="A10" s="518"/>
      <c r="B10" s="520"/>
      <c r="C10" s="520"/>
      <c r="D10" s="520"/>
      <c r="E10" s="520"/>
      <c r="F10" s="523"/>
      <c r="G10" s="523"/>
      <c r="H10" s="522"/>
      <c r="I10" s="522"/>
      <c r="J10" s="522"/>
      <c r="K10" s="522"/>
      <c r="L10" s="553"/>
    </row>
    <row r="11" ht="15.95" customHeight="1" spans="1:12">
      <c r="A11" s="518"/>
      <c r="B11" s="520"/>
      <c r="C11" s="520"/>
      <c r="D11" s="520"/>
      <c r="E11" s="520"/>
      <c r="F11" s="523"/>
      <c r="G11" s="523"/>
      <c r="H11" s="522"/>
      <c r="I11" s="522"/>
      <c r="J11" s="522"/>
      <c r="K11" s="522"/>
      <c r="L11" s="553"/>
    </row>
    <row r="12" ht="15.95" customHeight="1" spans="1:12">
      <c r="A12" s="518"/>
      <c r="B12" s="520"/>
      <c r="C12" s="520"/>
      <c r="D12" s="520"/>
      <c r="E12" s="520"/>
      <c r="F12" s="523"/>
      <c r="G12" s="523"/>
      <c r="H12" s="522"/>
      <c r="I12" s="522"/>
      <c r="J12" s="522"/>
      <c r="K12" s="522"/>
      <c r="L12" s="553"/>
    </row>
    <row r="13" ht="15.95" customHeight="1" spans="1:12">
      <c r="A13" s="518"/>
      <c r="B13" s="520"/>
      <c r="C13" s="520"/>
      <c r="D13" s="520"/>
      <c r="E13" s="520"/>
      <c r="F13" s="523"/>
      <c r="G13" s="523"/>
      <c r="H13" s="522"/>
      <c r="I13" s="522"/>
      <c r="J13" s="522"/>
      <c r="K13" s="522"/>
      <c r="L13" s="553"/>
    </row>
    <row r="14" ht="15.95" customHeight="1" spans="1:12">
      <c r="A14" s="518"/>
      <c r="B14" s="520"/>
      <c r="C14" s="520"/>
      <c r="D14" s="520"/>
      <c r="E14" s="520"/>
      <c r="F14" s="523"/>
      <c r="G14" s="523"/>
      <c r="H14" s="522"/>
      <c r="I14" s="522"/>
      <c r="J14" s="522"/>
      <c r="K14" s="522"/>
      <c r="L14" s="553"/>
    </row>
    <row r="15" ht="15.95" customHeight="1" spans="1:12">
      <c r="A15" s="518"/>
      <c r="B15" s="520"/>
      <c r="C15" s="520"/>
      <c r="D15" s="520"/>
      <c r="E15" s="520"/>
      <c r="F15" s="523"/>
      <c r="G15" s="523"/>
      <c r="H15" s="522"/>
      <c r="I15" s="522"/>
      <c r="J15" s="522"/>
      <c r="K15" s="522"/>
      <c r="L15" s="553"/>
    </row>
    <row r="16" ht="15.95" customHeight="1" spans="1:12">
      <c r="A16" s="518"/>
      <c r="B16" s="520"/>
      <c r="C16" s="520"/>
      <c r="D16" s="520"/>
      <c r="E16" s="520"/>
      <c r="F16" s="523"/>
      <c r="G16" s="523"/>
      <c r="H16" s="522"/>
      <c r="I16" s="522"/>
      <c r="J16" s="522"/>
      <c r="K16" s="522"/>
      <c r="L16" s="553"/>
    </row>
    <row r="17" ht="15.95" customHeight="1" spans="1:12">
      <c r="A17" s="518"/>
      <c r="B17" s="520"/>
      <c r="C17" s="520"/>
      <c r="D17" s="520"/>
      <c r="E17" s="520"/>
      <c r="F17" s="523"/>
      <c r="G17" s="523"/>
      <c r="H17" s="522"/>
      <c r="I17" s="522"/>
      <c r="J17" s="522"/>
      <c r="K17" s="522"/>
      <c r="L17" s="553"/>
    </row>
    <row r="18" ht="15.95" customHeight="1" spans="1:12">
      <c r="A18" s="518"/>
      <c r="B18"/>
      <c r="C18"/>
      <c r="D18"/>
      <c r="E18" s="519"/>
      <c r="F18" s="524"/>
      <c r="G18" s="524"/>
      <c r="H18"/>
      <c r="I18"/>
      <c r="J18"/>
      <c r="K18"/>
      <c r="L18" s="553"/>
    </row>
    <row r="19" ht="15.95" customHeight="1" spans="1:12">
      <c r="A19" s="518"/>
      <c r="B19" s="519"/>
      <c r="C19" s="519"/>
      <c r="D19" s="519"/>
      <c r="E19" s="519"/>
      <c r="F19" s="519"/>
      <c r="G19" s="519"/>
      <c r="H19" s="519"/>
      <c r="I19" s="519"/>
      <c r="J19" s="519"/>
      <c r="K19" s="519"/>
      <c r="L19" s="553"/>
    </row>
    <row r="20" ht="15.95" customHeight="1" spans="1:12">
      <c r="A20" s="518"/>
      <c r="B20" s="520"/>
      <c r="C20" s="520"/>
      <c r="D20" s="520"/>
      <c r="E20" s="520"/>
      <c r="F20" s="520"/>
      <c r="G20" s="519"/>
      <c r="H20" s="520"/>
      <c r="I20" s="520"/>
      <c r="J20" s="520"/>
      <c r="K20" s="520"/>
      <c r="L20" s="554"/>
    </row>
    <row r="21" ht="15.95" customHeight="1" spans="1:12">
      <c r="A21" s="525"/>
      <c r="B21" s="526" t="str">
        <f>IF(目录!G2="中文",对照!AI6,IF(目录!G2="English",对照!AJ6,对照!AI6))</f>
        <v>实测温度</v>
      </c>
      <c r="C21" s="526"/>
      <c r="D21" s="526"/>
      <c r="E21" s="526"/>
      <c r="F21" s="527"/>
      <c r="G21" s="527"/>
      <c r="H21" s="526" t="str">
        <f>IF(目录!G2="中文",对照!AI6,IF(目录!G2="English",对照!AJ6,对照!AI6))</f>
        <v>实测温度</v>
      </c>
      <c r="I21" s="526"/>
      <c r="J21" s="526"/>
      <c r="K21" s="526"/>
      <c r="L21" s="555"/>
    </row>
    <row r="22" ht="15.95" customHeight="1" spans="1:12">
      <c r="A22" s="528"/>
      <c r="B22" s="529" t="s">
        <v>1706</v>
      </c>
      <c r="C22" s="530"/>
      <c r="D22" s="530"/>
      <c r="E22" s="531" t="s">
        <v>1707</v>
      </c>
      <c r="F22" s="531"/>
      <c r="G22" s="531"/>
      <c r="H22" s="529" t="s">
        <v>1706</v>
      </c>
      <c r="I22" s="530"/>
      <c r="J22" s="530"/>
      <c r="K22" s="531" t="s">
        <v>1707</v>
      </c>
      <c r="L22" s="555"/>
    </row>
    <row r="23" ht="15.95" customHeight="1" spans="1:12">
      <c r="A23" s="528"/>
      <c r="B23" s="529" t="s">
        <v>1708</v>
      </c>
      <c r="C23" s="530"/>
      <c r="D23" s="530"/>
      <c r="E23" s="531" t="s">
        <v>1707</v>
      </c>
      <c r="F23" s="531"/>
      <c r="G23" s="531"/>
      <c r="H23" s="529" t="s">
        <v>1708</v>
      </c>
      <c r="I23" s="530"/>
      <c r="J23" s="530"/>
      <c r="K23" s="531" t="s">
        <v>1707</v>
      </c>
      <c r="L23" s="555"/>
    </row>
    <row r="24" ht="15.95" customHeight="1" spans="1:12">
      <c r="A24" s="528"/>
      <c r="B24" s="529" t="s">
        <v>1709</v>
      </c>
      <c r="C24" s="530"/>
      <c r="D24" s="530"/>
      <c r="E24" s="531" t="s">
        <v>1707</v>
      </c>
      <c r="F24" s="532"/>
      <c r="G24" s="531"/>
      <c r="H24" s="529" t="s">
        <v>1709</v>
      </c>
      <c r="I24" s="530"/>
      <c r="J24" s="530"/>
      <c r="K24" s="531" t="s">
        <v>1707</v>
      </c>
      <c r="L24" s="555"/>
    </row>
    <row r="25" ht="15.95" customHeight="1" spans="1:12">
      <c r="A25" s="528"/>
      <c r="B25" s="529" t="s">
        <v>1710</v>
      </c>
      <c r="C25" s="530"/>
      <c r="D25" s="530"/>
      <c r="E25" s="531" t="s">
        <v>1707</v>
      </c>
      <c r="F25" s="531"/>
      <c r="G25" s="531"/>
      <c r="H25" s="529" t="s">
        <v>1710</v>
      </c>
      <c r="I25" s="530"/>
      <c r="J25" s="530"/>
      <c r="K25" s="531" t="s">
        <v>1707</v>
      </c>
      <c r="L25" s="555"/>
    </row>
    <row r="26" ht="15.95" customHeight="1" spans="1:12">
      <c r="A26" s="528"/>
      <c r="B26" s="529" t="s">
        <v>1711</v>
      </c>
      <c r="C26" s="530"/>
      <c r="D26" s="530"/>
      <c r="E26" s="531" t="s">
        <v>1707</v>
      </c>
      <c r="F26" s="531"/>
      <c r="G26" s="531"/>
      <c r="H26" s="529" t="s">
        <v>1711</v>
      </c>
      <c r="I26" s="530"/>
      <c r="J26" s="530"/>
      <c r="K26" s="531" t="s">
        <v>1707</v>
      </c>
      <c r="L26" s="555"/>
    </row>
    <row r="27" ht="15.95" customHeight="1" spans="1:12">
      <c r="A27" s="528"/>
      <c r="B27" s="529" t="s">
        <v>1712</v>
      </c>
      <c r="C27" s="530"/>
      <c r="D27" s="530"/>
      <c r="E27" s="531" t="s">
        <v>1707</v>
      </c>
      <c r="F27" s="531"/>
      <c r="G27" s="531"/>
      <c r="H27" s="529" t="s">
        <v>1712</v>
      </c>
      <c r="I27" s="530"/>
      <c r="J27" s="530"/>
      <c r="K27" s="531" t="s">
        <v>1707</v>
      </c>
      <c r="L27" s="555"/>
    </row>
    <row r="28" ht="15.95" customHeight="1" spans="1:12">
      <c r="A28" s="528"/>
      <c r="B28" s="529" t="s">
        <v>1713</v>
      </c>
      <c r="C28" s="530"/>
      <c r="D28" s="530"/>
      <c r="E28" s="531" t="s">
        <v>1707</v>
      </c>
      <c r="F28" s="531"/>
      <c r="G28" s="531"/>
      <c r="H28" s="529" t="s">
        <v>1713</v>
      </c>
      <c r="I28" s="530"/>
      <c r="J28" s="530"/>
      <c r="K28" s="531" t="s">
        <v>1707</v>
      </c>
      <c r="L28" s="555"/>
    </row>
    <row r="29" ht="15.95" customHeight="1" spans="1:12">
      <c r="A29" s="528"/>
      <c r="B29" s="529" t="s">
        <v>1714</v>
      </c>
      <c r="C29" s="530"/>
      <c r="D29" s="530"/>
      <c r="E29" s="531" t="s">
        <v>1707</v>
      </c>
      <c r="F29" s="531"/>
      <c r="G29" s="531"/>
      <c r="H29" s="529" t="s">
        <v>1714</v>
      </c>
      <c r="I29" s="530"/>
      <c r="J29" s="530"/>
      <c r="K29" s="531" t="s">
        <v>1707</v>
      </c>
      <c r="L29" s="555"/>
    </row>
    <row r="30" ht="15.95" customHeight="1" spans="1:12">
      <c r="A30" s="528"/>
      <c r="B30" s="529" t="s">
        <v>1715</v>
      </c>
      <c r="C30" s="530"/>
      <c r="D30" s="530"/>
      <c r="E30" s="531" t="s">
        <v>1707</v>
      </c>
      <c r="F30" s="531"/>
      <c r="G30" s="531"/>
      <c r="H30" s="529" t="s">
        <v>1715</v>
      </c>
      <c r="I30" s="530"/>
      <c r="J30" s="530"/>
      <c r="K30" s="531" t="s">
        <v>1707</v>
      </c>
      <c r="L30" s="555"/>
    </row>
    <row r="31" ht="15.95" customHeight="1" spans="1:12">
      <c r="A31" s="533"/>
      <c r="B31" s="534"/>
      <c r="C31" s="535"/>
      <c r="D31" s="536"/>
      <c r="E31" s="537"/>
      <c r="F31" s="536"/>
      <c r="G31" s="536"/>
      <c r="H31" s="534"/>
      <c r="I31" s="535"/>
      <c r="J31" s="536"/>
      <c r="K31" s="537"/>
      <c r="L31" s="556"/>
    </row>
    <row r="32" ht="15.95" customHeight="1" spans="1:12">
      <c r="A32" s="538"/>
      <c r="B32" s="529"/>
      <c r="C32" s="539"/>
      <c r="D32" s="531"/>
      <c r="E32" s="532"/>
      <c r="F32" s="531"/>
      <c r="G32" s="531"/>
      <c r="H32" s="529"/>
      <c r="I32" s="539"/>
      <c r="J32" s="531"/>
      <c r="K32" s="532"/>
      <c r="L32" s="531"/>
    </row>
    <row r="33" ht="15.95" customHeight="1" spans="1:12">
      <c r="A33" s="540" t="s">
        <v>1716</v>
      </c>
      <c r="B33" s="541"/>
      <c r="C33" s="541"/>
      <c r="D33" s="541"/>
      <c r="E33" s="541"/>
      <c r="F33" s="541"/>
      <c r="G33" s="541"/>
      <c r="H33" s="541"/>
      <c r="I33" s="541"/>
      <c r="J33" s="541"/>
      <c r="K33" s="541"/>
      <c r="L33" s="541"/>
    </row>
    <row r="34" ht="15.95" customHeight="1" spans="1:12">
      <c r="A34" s="542"/>
      <c r="B34" s="542"/>
      <c r="C34" s="542"/>
      <c r="D34" s="542"/>
      <c r="E34" s="542"/>
      <c r="F34" s="542"/>
      <c r="G34" s="542"/>
      <c r="H34" s="542"/>
      <c r="I34" s="542"/>
      <c r="J34" s="542"/>
      <c r="K34" s="542"/>
      <c r="L34" s="542"/>
    </row>
    <row r="35" ht="15.95" customHeight="1" spans="1:12">
      <c r="A35" s="543"/>
      <c r="B35" s="544"/>
      <c r="C35" s="544"/>
      <c r="D35" s="544"/>
      <c r="E35" s="544"/>
      <c r="F35" s="544"/>
      <c r="G35" s="544"/>
      <c r="H35" s="544"/>
      <c r="I35" s="544"/>
      <c r="J35" s="544"/>
      <c r="K35" s="544"/>
      <c r="L35" s="557"/>
    </row>
    <row r="36" ht="15.95" customHeight="1" spans="1:12">
      <c r="A36" s="545"/>
      <c r="B36" s="546"/>
      <c r="C36" s="546"/>
      <c r="D36" s="546"/>
      <c r="E36" s="546"/>
      <c r="F36" s="546"/>
      <c r="G36" s="546"/>
      <c r="H36" s="546"/>
      <c r="I36" s="546"/>
      <c r="J36" s="546"/>
      <c r="K36" s="546"/>
      <c r="L36" s="558"/>
    </row>
    <row r="37" ht="15.95" customHeight="1" spans="1:12">
      <c r="A37" s="545"/>
      <c r="B37" s="546"/>
      <c r="C37" s="546"/>
      <c r="D37" s="546"/>
      <c r="E37" s="546"/>
      <c r="F37" s="546"/>
      <c r="G37" s="546"/>
      <c r="H37" s="546"/>
      <c r="I37" s="546"/>
      <c r="J37" s="546"/>
      <c r="K37" s="546"/>
      <c r="L37" s="558"/>
    </row>
    <row r="38" ht="15.95" customHeight="1" spans="1:12">
      <c r="A38" s="545"/>
      <c r="B38" s="546"/>
      <c r="C38" s="546"/>
      <c r="D38" s="546"/>
      <c r="E38" s="546"/>
      <c r="F38" s="546"/>
      <c r="G38" s="546"/>
      <c r="H38" s="546"/>
      <c r="I38" s="546"/>
      <c r="J38" s="546"/>
      <c r="K38" s="546"/>
      <c r="L38" s="558"/>
    </row>
    <row r="39" ht="15.95" customHeight="1" spans="1:12">
      <c r="A39" s="545"/>
      <c r="B39" s="546"/>
      <c r="C39" s="546"/>
      <c r="D39" s="546"/>
      <c r="E39" s="546"/>
      <c r="F39" s="546"/>
      <c r="G39" s="546"/>
      <c r="H39" s="546"/>
      <c r="I39" s="546"/>
      <c r="J39" s="546"/>
      <c r="K39" s="546"/>
      <c r="L39" s="558"/>
    </row>
    <row r="40" ht="15.95" customHeight="1" spans="1:12">
      <c r="A40" s="545"/>
      <c r="B40" s="546"/>
      <c r="C40" s="546"/>
      <c r="D40" s="546"/>
      <c r="E40" s="546"/>
      <c r="F40" s="546"/>
      <c r="G40" s="546"/>
      <c r="H40" s="546"/>
      <c r="I40" s="546"/>
      <c r="J40" s="546"/>
      <c r="K40" s="546"/>
      <c r="L40" s="558"/>
    </row>
    <row r="41" ht="15.95" customHeight="1" spans="1:12">
      <c r="A41" s="545"/>
      <c r="B41" s="546"/>
      <c r="C41" s="546"/>
      <c r="D41" s="546"/>
      <c r="E41" s="546"/>
      <c r="F41" s="546"/>
      <c r="G41" s="546"/>
      <c r="H41" s="546"/>
      <c r="I41" s="546"/>
      <c r="J41" s="546"/>
      <c r="K41" s="546"/>
      <c r="L41" s="558"/>
    </row>
    <row r="42" ht="15.95" customHeight="1" spans="1:12">
      <c r="A42" s="547"/>
      <c r="B42" s="548"/>
      <c r="C42" s="548"/>
      <c r="D42" s="548"/>
      <c r="E42" s="548"/>
      <c r="F42" s="548"/>
      <c r="G42" s="548"/>
      <c r="H42" s="548"/>
      <c r="I42" s="548"/>
      <c r="J42" s="548"/>
      <c r="K42" s="548"/>
      <c r="L42" s="559"/>
    </row>
    <row r="43" ht="15.95" customHeight="1" spans="1:12">
      <c r="A43" s="549" t="s">
        <v>1717</v>
      </c>
      <c r="B43" s="549"/>
      <c r="C43" s="549"/>
      <c r="D43" s="549"/>
      <c r="E43" s="549"/>
      <c r="F43" s="549"/>
      <c r="G43" s="549"/>
      <c r="H43" s="549"/>
      <c r="I43" s="549"/>
      <c r="J43" s="549"/>
      <c r="K43" s="549"/>
      <c r="L43" s="549"/>
    </row>
    <row r="44" spans="1:12">
      <c r="A44" s="532"/>
      <c r="B44" s="532"/>
      <c r="C44" s="532"/>
      <c r="D44" s="532"/>
      <c r="E44" s="532"/>
      <c r="F44" s="532"/>
      <c r="G44" s="532"/>
      <c r="H44" s="532"/>
      <c r="I44" s="532"/>
      <c r="J44" s="532"/>
      <c r="K44" s="532"/>
      <c r="L44" s="532"/>
    </row>
  </sheetData>
  <mergeCells count="39">
    <mergeCell ref="A1:L1"/>
    <mergeCell ref="A2:L2"/>
    <mergeCell ref="B4:D4"/>
    <mergeCell ref="I4:K4"/>
    <mergeCell ref="B5:E5"/>
    <mergeCell ref="H5:K5"/>
    <mergeCell ref="C6:D6"/>
    <mergeCell ref="I6:J6"/>
    <mergeCell ref="B20:D20"/>
    <mergeCell ref="E20:F20"/>
    <mergeCell ref="H20:J20"/>
    <mergeCell ref="K20:L20"/>
    <mergeCell ref="B21:E21"/>
    <mergeCell ref="H21:K21"/>
    <mergeCell ref="C22:D22"/>
    <mergeCell ref="I22:J22"/>
    <mergeCell ref="C23:D23"/>
    <mergeCell ref="I23:J23"/>
    <mergeCell ref="C24:D24"/>
    <mergeCell ref="I24:J24"/>
    <mergeCell ref="C25:D25"/>
    <mergeCell ref="I25:J25"/>
    <mergeCell ref="C26:D26"/>
    <mergeCell ref="I26:J26"/>
    <mergeCell ref="C27:D27"/>
    <mergeCell ref="I27:J27"/>
    <mergeCell ref="C28:D28"/>
    <mergeCell ref="I28:J28"/>
    <mergeCell ref="C29:D29"/>
    <mergeCell ref="I29:J29"/>
    <mergeCell ref="C30:D30"/>
    <mergeCell ref="I30:J30"/>
    <mergeCell ref="A43:L43"/>
    <mergeCell ref="F8:F17"/>
    <mergeCell ref="G8:G17"/>
    <mergeCell ref="A33:L34"/>
    <mergeCell ref="A35:L42"/>
    <mergeCell ref="B8:E17"/>
    <mergeCell ref="H8:K17"/>
  </mergeCells>
  <hyperlinks>
    <hyperlink ref="A1" location="Catalogue!A1" display="Back"/>
    <hyperlink ref="A1:L1" location="目录!A1" display="Back"/>
  </hyperlinks>
  <printOptions horizontalCentered="1"/>
  <pageMargins left="0.393700787401575" right="0.393700787401575" top="0.748031496062992" bottom="0.748031496062992" header="0.31496062992126" footer="0.31496062992126"/>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8"/>
  <sheetViews>
    <sheetView workbookViewId="0">
      <selection activeCell="A1" sqref="A1:O1"/>
    </sheetView>
  </sheetViews>
  <sheetFormatPr defaultColWidth="9" defaultRowHeight="14.25"/>
  <cols>
    <col min="1" max="1" width="5" style="318" customWidth="1"/>
    <col min="2" max="2" width="9" style="318"/>
    <col min="3" max="3" width="7.125" style="318" customWidth="1"/>
    <col min="4" max="5" width="7.75" style="318" customWidth="1"/>
    <col min="6" max="6" width="3.75" style="318" customWidth="1"/>
    <col min="7" max="7" width="6.25" style="318" customWidth="1"/>
    <col min="8" max="8" width="2.5" style="318" customWidth="1"/>
    <col min="9" max="9" width="7.75" style="318" customWidth="1"/>
    <col min="10" max="10" width="10.25" style="318" customWidth="1"/>
    <col min="11" max="12" width="8.5" style="318" customWidth="1"/>
    <col min="13" max="13" width="9" style="318"/>
    <col min="14" max="14" width="12.5" style="318" customWidth="1"/>
    <col min="15" max="15" width="9" style="318"/>
    <col min="16" max="19" width="8.625" style="318" customWidth="1"/>
    <col min="20" max="16384" width="9" style="318"/>
  </cols>
  <sheetData>
    <row r="1" ht="15.75" spans="1:15">
      <c r="A1" s="3" t="s">
        <v>880</v>
      </c>
      <c r="B1" s="3"/>
      <c r="C1" s="3"/>
      <c r="D1" s="3"/>
      <c r="E1" s="3"/>
      <c r="F1" s="3"/>
      <c r="G1" s="3"/>
      <c r="H1" s="3"/>
      <c r="I1" s="3"/>
      <c r="J1" s="3"/>
      <c r="K1" s="3"/>
      <c r="L1" s="3"/>
      <c r="M1" s="3"/>
      <c r="N1" s="3"/>
      <c r="O1" s="3"/>
    </row>
    <row r="2" ht="56.1" customHeight="1" spans="1:15">
      <c r="A2" s="465" t="str">
        <f>IF(目录!G2="中文",对照!AL2,IF(目录!G2="English",对照!AM2,对照!AL2))</f>
        <v>注射速度优化报告
Optimized Injection Speed Report</v>
      </c>
      <c r="B2" s="465"/>
      <c r="C2" s="465"/>
      <c r="D2" s="465"/>
      <c r="E2" s="465"/>
      <c r="F2" s="465"/>
      <c r="G2" s="465"/>
      <c r="H2" s="465"/>
      <c r="I2" s="465"/>
      <c r="J2" s="465"/>
      <c r="K2" s="465"/>
      <c r="L2" s="465"/>
      <c r="M2" s="465"/>
      <c r="N2" s="465"/>
      <c r="O2" s="465"/>
    </row>
    <row r="3" ht="15.95" customHeight="1"/>
    <row r="4" ht="15.95" customHeight="1" spans="1:15">
      <c r="A4" s="466" t="str">
        <f>IF(目录!G2="中文",对照!AL3,IF(目录!G2="English",对照!AM3,对照!AL3))</f>
        <v>机型
Injection Machine</v>
      </c>
      <c r="B4" s="466"/>
      <c r="C4" s="466"/>
      <c r="D4" s="467"/>
      <c r="E4" s="466" t="str">
        <f>IF(目录!G2="中文",对照!AL4,IF(目录!G2="English",对照!AM4,对照!AL4))</f>
        <v>注射时间
Injection time</v>
      </c>
      <c r="F4" s="466"/>
      <c r="G4" s="466"/>
      <c r="H4" s="466"/>
      <c r="I4" s="467"/>
      <c r="J4" s="466" t="str">
        <f>IF(目录!G2="中文",对照!AL5,IF(目录!G2="English",对照!AM5,对照!AL5))</f>
        <v>注射压力
Injection pressure</v>
      </c>
      <c r="K4" s="466"/>
      <c r="L4" s="466"/>
      <c r="M4" s="467"/>
      <c r="N4" s="466" t="str">
        <f>IF(目录!G2="中文",对照!AL6,IF(目录!G2="English",对照!AM6,对照!AL6))</f>
        <v>注射速度
Injection Speed</v>
      </c>
      <c r="O4" s="466"/>
    </row>
    <row r="5" ht="15.95" customHeight="1" spans="1:15">
      <c r="A5" s="466"/>
      <c r="B5" s="466"/>
      <c r="C5" s="466"/>
      <c r="D5" s="467"/>
      <c r="E5" s="466"/>
      <c r="F5" s="466"/>
      <c r="G5" s="466"/>
      <c r="H5" s="466"/>
      <c r="I5" s="467"/>
      <c r="J5" s="466"/>
      <c r="K5" s="466"/>
      <c r="L5" s="466"/>
      <c r="M5" s="467"/>
      <c r="N5" s="466"/>
      <c r="O5" s="466"/>
    </row>
    <row r="6" ht="15.95" customHeight="1" spans="1:15">
      <c r="A6" s="468"/>
      <c r="B6" s="468"/>
      <c r="C6" s="468"/>
      <c r="D6" s="467"/>
      <c r="E6" s="469"/>
      <c r="F6" s="469"/>
      <c r="G6" s="469"/>
      <c r="H6" s="470" t="s">
        <v>894</v>
      </c>
      <c r="I6" s="467"/>
      <c r="J6" s="485"/>
      <c r="K6" s="485"/>
      <c r="L6" s="470"/>
      <c r="M6" s="467"/>
      <c r="N6" s="485"/>
      <c r="O6" s="470"/>
    </row>
    <row r="7" ht="15.95" customHeight="1" spans="1:15">
      <c r="A7" s="468"/>
      <c r="B7" s="468"/>
      <c r="C7" s="468"/>
      <c r="D7" s="467"/>
      <c r="E7" s="469"/>
      <c r="F7" s="469"/>
      <c r="G7" s="469"/>
      <c r="H7" s="471"/>
      <c r="I7" s="467"/>
      <c r="J7" s="485"/>
      <c r="K7" s="485"/>
      <c r="L7" s="471"/>
      <c r="M7" s="467"/>
      <c r="N7" s="485"/>
      <c r="O7" s="471"/>
    </row>
    <row r="8" ht="15.95" customHeight="1"/>
    <row r="9" ht="15.95" customHeight="1" spans="1:19">
      <c r="A9" s="472"/>
      <c r="B9" s="473" t="str">
        <f>IF(目录!G2="中文",对照!AL6,IF(目录!G2="English",对照!AM6,对照!AL6))</f>
        <v>注射速度
Injection Speed</v>
      </c>
      <c r="C9" s="473"/>
      <c r="D9" s="474"/>
      <c r="E9" s="475" t="str">
        <f>IF(目录!G2="中文",对照!AL4,IF(目录!G2="English",对照!AM4,对照!AL4))</f>
        <v>注射时间
Injection time</v>
      </c>
      <c r="F9" s="476"/>
      <c r="G9" s="477"/>
      <c r="H9" s="478" t="s">
        <v>894</v>
      </c>
      <c r="I9" s="475" t="str">
        <f>IF(目录!G2="中文",对照!AL5,IF(目录!G2="English",对照!AM5,对照!AL5))</f>
        <v>注射压力
Injection pressure</v>
      </c>
      <c r="J9" s="476"/>
      <c r="K9" s="474"/>
      <c r="L9" s="475" t="str">
        <f>IF(目录!G2="中文",对照!AL7,IF(目录!G2="English",对照!AM7,对照!AL7))</f>
        <v>剪切速率
Shear rate</v>
      </c>
      <c r="M9" s="476"/>
      <c r="N9" s="475" t="str">
        <f>IF(目录!G2="中文",对照!AL8,IF(目录!G2="English",对照!AM8,对照!AL8))</f>
        <v>有效粘度
Relative Viscosity</v>
      </c>
      <c r="O9" s="476"/>
      <c r="P9" s="491" t="str">
        <f>IF(目录!G2="中文",对照!AL9,IF(目录!G2="English",对照!AM9,对照!AL9))</f>
        <v>相对粘度差异
Change in Relative Viscosity</v>
      </c>
      <c r="Q9" s="497"/>
      <c r="R9" s="498" t="str">
        <f>IF(目录!G2="中文",对照!AL10,IF(目录!G2="English",对照!AM10,对照!AL10))</f>
        <v>折线</v>
      </c>
      <c r="S9" s="499" t="str">
        <f>IF(目录!G2="中文",对照!AL11,IF(目录!G2="English",对照!AM11,对照!AL11))</f>
        <v>斜率</v>
      </c>
    </row>
    <row r="10" ht="15.95" customHeight="1" spans="1:19">
      <c r="A10" s="479"/>
      <c r="B10" s="466"/>
      <c r="C10" s="466"/>
      <c r="D10" s="480"/>
      <c r="E10" s="384"/>
      <c r="F10" s="481"/>
      <c r="G10" s="385"/>
      <c r="H10" s="482"/>
      <c r="I10" s="384"/>
      <c r="J10" s="481"/>
      <c r="K10" s="480"/>
      <c r="L10" s="384"/>
      <c r="M10" s="481"/>
      <c r="N10" s="384"/>
      <c r="O10" s="481"/>
      <c r="P10" s="492"/>
      <c r="Q10" s="500"/>
      <c r="R10" s="501"/>
      <c r="S10" s="502"/>
    </row>
    <row r="11" ht="24" customHeight="1" spans="1:19">
      <c r="A11" s="483">
        <v>1</v>
      </c>
      <c r="B11" s="484"/>
      <c r="C11" s="485"/>
      <c r="D11" s="485"/>
      <c r="E11" s="485"/>
      <c r="F11" s="485"/>
      <c r="G11" s="485"/>
      <c r="H11" s="485"/>
      <c r="I11" s="485"/>
      <c r="J11" s="485"/>
      <c r="K11" s="485"/>
      <c r="L11" s="493"/>
      <c r="M11" s="484"/>
      <c r="N11" s="493"/>
      <c r="O11" s="484"/>
      <c r="P11" s="494"/>
      <c r="Q11" s="494"/>
      <c r="R11" s="503" t="s">
        <v>1718</v>
      </c>
      <c r="S11" s="504" t="s">
        <v>1718</v>
      </c>
    </row>
    <row r="12" ht="24" customHeight="1" spans="1:19">
      <c r="A12" s="483">
        <v>2</v>
      </c>
      <c r="B12" s="484"/>
      <c r="C12" s="485"/>
      <c r="D12" s="485"/>
      <c r="E12" s="485"/>
      <c r="F12" s="485"/>
      <c r="G12" s="485"/>
      <c r="H12" s="485"/>
      <c r="I12" s="485"/>
      <c r="J12" s="485"/>
      <c r="K12" s="485"/>
      <c r="L12" s="493"/>
      <c r="M12" s="484"/>
      <c r="N12" s="493"/>
      <c r="O12" s="484"/>
      <c r="P12" s="494">
        <f>N12-N11</f>
        <v>0</v>
      </c>
      <c r="Q12" s="494"/>
      <c r="R12" s="503" t="s">
        <v>1719</v>
      </c>
      <c r="S12" s="505" t="e">
        <f>P12/(L12-L11)</f>
        <v>#DIV/0!</v>
      </c>
    </row>
    <row r="13" ht="24" customHeight="1" spans="1:19">
      <c r="A13" s="483">
        <v>3</v>
      </c>
      <c r="B13" s="484"/>
      <c r="C13" s="485"/>
      <c r="D13" s="485"/>
      <c r="E13" s="485"/>
      <c r="F13" s="485"/>
      <c r="G13" s="485"/>
      <c r="H13" s="485"/>
      <c r="I13" s="485"/>
      <c r="J13" s="485"/>
      <c r="K13" s="485"/>
      <c r="L13" s="493"/>
      <c r="M13" s="484"/>
      <c r="N13" s="493"/>
      <c r="O13" s="484"/>
      <c r="P13" s="494">
        <f t="shared" ref="P13:P20" si="0">N13-N12</f>
        <v>0</v>
      </c>
      <c r="Q13" s="494"/>
      <c r="R13" s="503" t="s">
        <v>1720</v>
      </c>
      <c r="S13" s="505" t="e">
        <f t="shared" ref="S13:S20" si="1">P13/(L13-L12)</f>
        <v>#DIV/0!</v>
      </c>
    </row>
    <row r="14" ht="24" customHeight="1" spans="1:19">
      <c r="A14" s="483">
        <v>4</v>
      </c>
      <c r="B14" s="484"/>
      <c r="C14" s="485"/>
      <c r="D14" s="485"/>
      <c r="E14" s="485"/>
      <c r="F14" s="485"/>
      <c r="G14" s="485"/>
      <c r="H14" s="485"/>
      <c r="I14" s="485"/>
      <c r="J14" s="485"/>
      <c r="K14" s="485"/>
      <c r="L14" s="493"/>
      <c r="M14" s="484"/>
      <c r="N14" s="493"/>
      <c r="O14" s="484"/>
      <c r="P14" s="494">
        <f t="shared" si="0"/>
        <v>0</v>
      </c>
      <c r="Q14" s="494"/>
      <c r="R14" s="503" t="s">
        <v>1721</v>
      </c>
      <c r="S14" s="505" t="e">
        <f t="shared" si="1"/>
        <v>#DIV/0!</v>
      </c>
    </row>
    <row r="15" ht="24" customHeight="1" spans="1:19">
      <c r="A15" s="483">
        <v>5</v>
      </c>
      <c r="B15" s="484"/>
      <c r="C15" s="485"/>
      <c r="D15" s="485"/>
      <c r="E15" s="485"/>
      <c r="F15" s="485"/>
      <c r="G15" s="485"/>
      <c r="H15" s="485"/>
      <c r="I15" s="485"/>
      <c r="J15" s="485"/>
      <c r="K15" s="485"/>
      <c r="L15" s="493"/>
      <c r="M15" s="484"/>
      <c r="N15" s="493"/>
      <c r="O15" s="484"/>
      <c r="P15" s="494">
        <f t="shared" si="0"/>
        <v>0</v>
      </c>
      <c r="Q15" s="494"/>
      <c r="R15" s="503" t="s">
        <v>1722</v>
      </c>
      <c r="S15" s="505" t="e">
        <f t="shared" si="1"/>
        <v>#DIV/0!</v>
      </c>
    </row>
    <row r="16" ht="24" customHeight="1" spans="1:19">
      <c r="A16" s="483">
        <v>6</v>
      </c>
      <c r="B16" s="484"/>
      <c r="C16" s="485"/>
      <c r="D16" s="485"/>
      <c r="E16" s="485"/>
      <c r="F16" s="485"/>
      <c r="G16" s="485"/>
      <c r="H16" s="485"/>
      <c r="I16" s="485"/>
      <c r="J16" s="485"/>
      <c r="K16" s="485"/>
      <c r="L16" s="493"/>
      <c r="M16" s="484"/>
      <c r="N16" s="493"/>
      <c r="O16" s="484"/>
      <c r="P16" s="494">
        <f t="shared" si="0"/>
        <v>0</v>
      </c>
      <c r="Q16" s="494"/>
      <c r="R16" s="503" t="s">
        <v>1723</v>
      </c>
      <c r="S16" s="505" t="e">
        <f t="shared" si="1"/>
        <v>#DIV/0!</v>
      </c>
    </row>
    <row r="17" ht="24" customHeight="1" spans="1:19">
      <c r="A17" s="483">
        <v>7</v>
      </c>
      <c r="B17" s="484"/>
      <c r="C17" s="485"/>
      <c r="D17" s="485"/>
      <c r="E17" s="485"/>
      <c r="F17" s="485"/>
      <c r="G17" s="485"/>
      <c r="H17" s="485"/>
      <c r="I17" s="485"/>
      <c r="J17" s="485"/>
      <c r="K17" s="485"/>
      <c r="L17" s="493"/>
      <c r="M17" s="484"/>
      <c r="N17" s="493"/>
      <c r="O17" s="484"/>
      <c r="P17" s="494">
        <f t="shared" si="0"/>
        <v>0</v>
      </c>
      <c r="Q17" s="494"/>
      <c r="R17" s="503" t="s">
        <v>1724</v>
      </c>
      <c r="S17" s="505" t="e">
        <f t="shared" si="1"/>
        <v>#DIV/0!</v>
      </c>
    </row>
    <row r="18" ht="24" customHeight="1" spans="1:19">
      <c r="A18" s="483">
        <v>8</v>
      </c>
      <c r="B18" s="484"/>
      <c r="C18" s="485"/>
      <c r="D18" s="485"/>
      <c r="E18" s="485"/>
      <c r="F18" s="485"/>
      <c r="G18" s="485"/>
      <c r="H18" s="485"/>
      <c r="I18" s="485"/>
      <c r="J18" s="485"/>
      <c r="K18" s="485"/>
      <c r="L18" s="493"/>
      <c r="M18" s="484"/>
      <c r="N18" s="493"/>
      <c r="O18" s="484"/>
      <c r="P18" s="494">
        <f t="shared" si="0"/>
        <v>0</v>
      </c>
      <c r="Q18" s="494"/>
      <c r="R18" s="503" t="s">
        <v>1725</v>
      </c>
      <c r="S18" s="505" t="e">
        <f t="shared" si="1"/>
        <v>#DIV/0!</v>
      </c>
    </row>
    <row r="19" ht="24" customHeight="1" spans="1:19">
      <c r="A19" s="483">
        <v>9</v>
      </c>
      <c r="B19" s="484"/>
      <c r="C19" s="485"/>
      <c r="D19" s="485"/>
      <c r="E19" s="485"/>
      <c r="F19" s="485"/>
      <c r="G19" s="485"/>
      <c r="H19" s="485"/>
      <c r="I19" s="485"/>
      <c r="J19" s="485"/>
      <c r="K19" s="485"/>
      <c r="L19" s="493"/>
      <c r="M19" s="484"/>
      <c r="N19" s="493"/>
      <c r="O19" s="484"/>
      <c r="P19" s="494">
        <f t="shared" si="0"/>
        <v>0</v>
      </c>
      <c r="Q19" s="494"/>
      <c r="R19" s="503" t="s">
        <v>1726</v>
      </c>
      <c r="S19" s="505" t="e">
        <f t="shared" si="1"/>
        <v>#DIV/0!</v>
      </c>
    </row>
    <row r="20" ht="24" customHeight="1" spans="1:19">
      <c r="A20" s="483">
        <v>10</v>
      </c>
      <c r="B20" s="484"/>
      <c r="C20" s="485"/>
      <c r="D20" s="485"/>
      <c r="E20" s="485"/>
      <c r="F20" s="485"/>
      <c r="G20" s="485"/>
      <c r="H20" s="485"/>
      <c r="I20" s="485"/>
      <c r="J20" s="485"/>
      <c r="K20" s="485"/>
      <c r="L20" s="493"/>
      <c r="M20" s="484"/>
      <c r="N20" s="493"/>
      <c r="O20" s="484"/>
      <c r="P20" s="494">
        <f t="shared" si="0"/>
        <v>0</v>
      </c>
      <c r="Q20" s="494"/>
      <c r="R20" s="503" t="s">
        <v>1727</v>
      </c>
      <c r="S20" s="505" t="e">
        <f t="shared" si="1"/>
        <v>#DIV/0!</v>
      </c>
    </row>
    <row r="21" ht="24" customHeight="1" spans="1:19">
      <c r="A21" s="486">
        <v>11</v>
      </c>
      <c r="B21" s="487"/>
      <c r="C21" s="488"/>
      <c r="D21" s="488"/>
      <c r="E21" s="488"/>
      <c r="F21" s="488"/>
      <c r="G21" s="488"/>
      <c r="H21" s="488"/>
      <c r="I21" s="488"/>
      <c r="J21" s="488"/>
      <c r="K21" s="488"/>
      <c r="L21" s="495"/>
      <c r="M21" s="487"/>
      <c r="N21" s="495"/>
      <c r="O21" s="487"/>
      <c r="P21" s="496">
        <f t="shared" ref="P21" si="2">N21-N20</f>
        <v>0</v>
      </c>
      <c r="Q21" s="496"/>
      <c r="R21" s="506" t="s">
        <v>1728</v>
      </c>
      <c r="S21" s="507" t="e">
        <f t="shared" ref="S21" si="3">P21/(L21-L20)</f>
        <v>#DIV/0!</v>
      </c>
    </row>
    <row r="22" ht="15.95" customHeight="1" spans="18:19">
      <c r="R22"/>
      <c r="S22"/>
    </row>
    <row r="23" ht="15.95" customHeight="1"/>
    <row r="24" ht="15.95" customHeight="1"/>
    <row r="25" ht="15.95" customHeight="1"/>
    <row r="26" ht="15.95" customHeight="1"/>
    <row r="27" ht="15.95" customHeight="1"/>
    <row r="28" ht="15.95" customHeight="1"/>
    <row r="29" ht="15.95" customHeight="1"/>
    <row r="30" ht="15.95" customHeight="1"/>
    <row r="31" ht="15.95" customHeight="1"/>
    <row r="32" ht="15.95" customHeight="1"/>
    <row r="33" ht="15.95" customHeight="1"/>
    <row r="34" ht="15.95" customHeight="1"/>
    <row r="35" ht="15.95" customHeight="1"/>
    <row r="36" ht="15.95" customHeight="1"/>
    <row r="37" ht="15.95" customHeight="1"/>
    <row r="38" ht="15.95" customHeight="1"/>
    <row r="39" ht="15.95" customHeight="1"/>
    <row r="40" ht="15.95" customHeight="1"/>
    <row r="41" ht="15.95" customHeight="1"/>
    <row r="42" ht="15.95" customHeight="1"/>
    <row r="43" s="318" customFormat="1" ht="15.95" customHeight="1"/>
    <row r="44" s="318" customFormat="1" ht="15.95" customHeight="1"/>
    <row r="45" ht="15.95" customHeight="1"/>
    <row r="46" ht="15.95" customHeight="1"/>
    <row r="47" ht="15.95" customHeight="1" spans="1:15">
      <c r="A47" s="359" t="s">
        <v>1729</v>
      </c>
      <c r="B47" s="359"/>
      <c r="C47" s="359"/>
      <c r="D47" s="359"/>
      <c r="E47" s="359"/>
      <c r="F47" s="359"/>
      <c r="G47" s="359"/>
      <c r="H47" s="359"/>
      <c r="I47" s="359"/>
      <c r="J47" s="359"/>
      <c r="K47" s="359"/>
      <c r="L47" s="359"/>
      <c r="M47" s="359"/>
      <c r="N47" s="359"/>
      <c r="O47" s="359"/>
    </row>
    <row r="48" ht="15.95" customHeight="1" spans="1:15">
      <c r="A48" s="361"/>
      <c r="B48" s="361"/>
      <c r="C48" s="361"/>
      <c r="D48" s="361"/>
      <c r="E48" s="361"/>
      <c r="F48" s="361"/>
      <c r="G48" s="361"/>
      <c r="H48" s="361"/>
      <c r="I48" s="361"/>
      <c r="J48" s="361"/>
      <c r="K48" s="361"/>
      <c r="L48" s="361"/>
      <c r="M48" s="361"/>
      <c r="N48" s="361"/>
      <c r="O48" s="361"/>
    </row>
    <row r="49" ht="15.95" customHeight="1" spans="1:16">
      <c r="A49" s="363"/>
      <c r="B49" s="364"/>
      <c r="C49" s="364"/>
      <c r="D49" s="364"/>
      <c r="E49" s="364"/>
      <c r="F49" s="364"/>
      <c r="G49" s="364"/>
      <c r="H49" s="364"/>
      <c r="I49" s="364"/>
      <c r="J49" s="364"/>
      <c r="K49" s="364"/>
      <c r="L49" s="364"/>
      <c r="M49" s="364"/>
      <c r="N49" s="364"/>
      <c r="O49" s="365"/>
      <c r="P49" s="350"/>
    </row>
    <row r="50" ht="15.95" customHeight="1" spans="1:16">
      <c r="A50" s="366"/>
      <c r="B50" s="367"/>
      <c r="C50" s="367"/>
      <c r="D50" s="367"/>
      <c r="E50" s="367"/>
      <c r="F50" s="367"/>
      <c r="G50" s="367"/>
      <c r="H50" s="367"/>
      <c r="I50" s="367"/>
      <c r="J50" s="367"/>
      <c r="K50" s="367"/>
      <c r="L50" s="367"/>
      <c r="M50" s="367"/>
      <c r="N50" s="367"/>
      <c r="O50" s="368"/>
      <c r="P50" s="350"/>
    </row>
    <row r="51" ht="15.95" customHeight="1" spans="1:16">
      <c r="A51" s="366"/>
      <c r="B51" s="367"/>
      <c r="C51" s="367"/>
      <c r="D51" s="367"/>
      <c r="E51" s="367"/>
      <c r="F51" s="367"/>
      <c r="G51" s="367"/>
      <c r="H51" s="367"/>
      <c r="I51" s="367"/>
      <c r="J51" s="367"/>
      <c r="K51" s="367"/>
      <c r="L51" s="367"/>
      <c r="M51" s="367"/>
      <c r="N51" s="367"/>
      <c r="O51" s="368"/>
      <c r="P51" s="350"/>
    </row>
    <row r="52" ht="15.95" customHeight="1" spans="1:16">
      <c r="A52" s="366"/>
      <c r="B52" s="367"/>
      <c r="C52" s="367"/>
      <c r="D52" s="367"/>
      <c r="E52" s="367"/>
      <c r="F52" s="367"/>
      <c r="G52" s="367"/>
      <c r="H52" s="367"/>
      <c r="I52" s="367"/>
      <c r="J52" s="367"/>
      <c r="K52" s="367"/>
      <c r="L52" s="367"/>
      <c r="M52" s="367"/>
      <c r="N52" s="367"/>
      <c r="O52" s="368"/>
      <c r="P52" s="350"/>
    </row>
    <row r="53" ht="15.95" customHeight="1" spans="1:16">
      <c r="A53" s="366"/>
      <c r="B53" s="367"/>
      <c r="C53" s="367"/>
      <c r="D53" s="367"/>
      <c r="E53" s="367"/>
      <c r="F53" s="367"/>
      <c r="G53" s="367"/>
      <c r="H53" s="367"/>
      <c r="I53" s="367"/>
      <c r="J53" s="367"/>
      <c r="K53" s="367"/>
      <c r="L53" s="367"/>
      <c r="M53" s="367"/>
      <c r="N53" s="367"/>
      <c r="O53" s="368"/>
      <c r="P53" s="350"/>
    </row>
    <row r="54" ht="15.95" customHeight="1" spans="1:16">
      <c r="A54" s="366"/>
      <c r="B54" s="367"/>
      <c r="C54" s="367"/>
      <c r="D54" s="367"/>
      <c r="E54" s="367"/>
      <c r="F54" s="367"/>
      <c r="G54" s="367"/>
      <c r="H54" s="367"/>
      <c r="I54" s="367"/>
      <c r="J54" s="367"/>
      <c r="K54" s="367"/>
      <c r="L54" s="367"/>
      <c r="M54" s="367"/>
      <c r="N54" s="367"/>
      <c r="O54" s="368"/>
      <c r="P54" s="350"/>
    </row>
    <row r="55" ht="15.95" customHeight="1" spans="1:16">
      <c r="A55" s="366"/>
      <c r="B55" s="367"/>
      <c r="C55" s="367"/>
      <c r="D55" s="367"/>
      <c r="E55" s="367"/>
      <c r="F55" s="367"/>
      <c r="G55" s="367"/>
      <c r="H55" s="367"/>
      <c r="I55" s="367"/>
      <c r="J55" s="367"/>
      <c r="K55" s="367"/>
      <c r="L55" s="367"/>
      <c r="M55" s="367"/>
      <c r="N55" s="367"/>
      <c r="O55" s="368"/>
      <c r="P55" s="350"/>
    </row>
    <row r="56" ht="15.95" customHeight="1" spans="1:16">
      <c r="A56" s="369"/>
      <c r="B56" s="370"/>
      <c r="C56" s="370"/>
      <c r="D56" s="370"/>
      <c r="E56" s="370"/>
      <c r="F56" s="370"/>
      <c r="G56" s="370"/>
      <c r="H56" s="370"/>
      <c r="I56" s="370"/>
      <c r="J56" s="370"/>
      <c r="K56" s="370"/>
      <c r="L56" s="370"/>
      <c r="M56" s="370"/>
      <c r="N56" s="370"/>
      <c r="O56" s="371"/>
      <c r="P56" s="350"/>
    </row>
    <row r="57" customHeight="1" spans="1:15">
      <c r="A57" s="489" t="s">
        <v>1730</v>
      </c>
      <c r="B57" s="489"/>
      <c r="C57" s="489"/>
      <c r="D57" s="489"/>
      <c r="E57" s="489"/>
      <c r="F57" s="489"/>
      <c r="G57" s="489"/>
      <c r="H57" s="489"/>
      <c r="I57" s="489"/>
      <c r="J57" s="489"/>
      <c r="K57" s="489"/>
      <c r="L57" s="489"/>
      <c r="M57" s="489"/>
      <c r="N57" s="489"/>
      <c r="O57" s="489"/>
    </row>
    <row r="58" customHeight="1" spans="1:15">
      <c r="A58" s="490"/>
      <c r="B58" s="490"/>
      <c r="C58" s="490"/>
      <c r="D58" s="490"/>
      <c r="E58" s="490"/>
      <c r="F58" s="490"/>
      <c r="G58" s="490"/>
      <c r="H58" s="490"/>
      <c r="I58" s="490"/>
      <c r="J58" s="490"/>
      <c r="K58" s="490"/>
      <c r="L58" s="490"/>
      <c r="M58" s="490"/>
      <c r="N58" s="490"/>
      <c r="O58" s="490"/>
    </row>
  </sheetData>
  <mergeCells count="93">
    <mergeCell ref="A1:O1"/>
    <mergeCell ref="A2:O2"/>
    <mergeCell ref="B11:D11"/>
    <mergeCell ref="E11:H11"/>
    <mergeCell ref="I11:K11"/>
    <mergeCell ref="L11:M11"/>
    <mergeCell ref="N11:O11"/>
    <mergeCell ref="P11:Q11"/>
    <mergeCell ref="B12:D12"/>
    <mergeCell ref="E12:H12"/>
    <mergeCell ref="I12:K12"/>
    <mergeCell ref="L12:M12"/>
    <mergeCell ref="N12:O12"/>
    <mergeCell ref="P12:Q12"/>
    <mergeCell ref="B13:D13"/>
    <mergeCell ref="E13:H13"/>
    <mergeCell ref="I13:K13"/>
    <mergeCell ref="L13:M13"/>
    <mergeCell ref="N13:O13"/>
    <mergeCell ref="P13:Q13"/>
    <mergeCell ref="B14:D14"/>
    <mergeCell ref="E14:H14"/>
    <mergeCell ref="I14:K14"/>
    <mergeCell ref="L14:M14"/>
    <mergeCell ref="N14:O14"/>
    <mergeCell ref="P14:Q14"/>
    <mergeCell ref="B15:D15"/>
    <mergeCell ref="E15:H15"/>
    <mergeCell ref="I15:K15"/>
    <mergeCell ref="L15:M15"/>
    <mergeCell ref="N15:O15"/>
    <mergeCell ref="P15:Q15"/>
    <mergeCell ref="B16:D16"/>
    <mergeCell ref="E16:H16"/>
    <mergeCell ref="I16:K16"/>
    <mergeCell ref="L16:M16"/>
    <mergeCell ref="N16:O16"/>
    <mergeCell ref="P16:Q16"/>
    <mergeCell ref="B17:D17"/>
    <mergeCell ref="E17:H17"/>
    <mergeCell ref="I17:K17"/>
    <mergeCell ref="L17:M17"/>
    <mergeCell ref="N17:O17"/>
    <mergeCell ref="P17:Q17"/>
    <mergeCell ref="B18:D18"/>
    <mergeCell ref="E18:H18"/>
    <mergeCell ref="I18:K18"/>
    <mergeCell ref="L18:M18"/>
    <mergeCell ref="N18:O18"/>
    <mergeCell ref="P18:Q18"/>
    <mergeCell ref="B19:D19"/>
    <mergeCell ref="E19:H19"/>
    <mergeCell ref="I19:K19"/>
    <mergeCell ref="L19:M19"/>
    <mergeCell ref="N19:O19"/>
    <mergeCell ref="P19:Q19"/>
    <mergeCell ref="B20:D20"/>
    <mergeCell ref="E20:H20"/>
    <mergeCell ref="I20:K20"/>
    <mergeCell ref="L20:M20"/>
    <mergeCell ref="N20:O20"/>
    <mergeCell ref="P20:Q20"/>
    <mergeCell ref="B21:D21"/>
    <mergeCell ref="E21:H21"/>
    <mergeCell ref="I21:K21"/>
    <mergeCell ref="L21:M21"/>
    <mergeCell ref="N21:O21"/>
    <mergeCell ref="P21:Q21"/>
    <mergeCell ref="A57:O57"/>
    <mergeCell ref="D9:D10"/>
    <mergeCell ref="H6:H7"/>
    <mergeCell ref="H9:H10"/>
    <mergeCell ref="K9:K10"/>
    <mergeCell ref="L6:L7"/>
    <mergeCell ref="N6:N7"/>
    <mergeCell ref="O6:O7"/>
    <mergeCell ref="R9:R10"/>
    <mergeCell ref="S9:S10"/>
    <mergeCell ref="N4:O5"/>
    <mergeCell ref="A4:C5"/>
    <mergeCell ref="J4:L5"/>
    <mergeCell ref="B9:C10"/>
    <mergeCell ref="L9:M10"/>
    <mergeCell ref="N9:O10"/>
    <mergeCell ref="P9:Q10"/>
    <mergeCell ref="J6:K7"/>
    <mergeCell ref="E9:G10"/>
    <mergeCell ref="I9:J10"/>
    <mergeCell ref="E6:G7"/>
    <mergeCell ref="A6:C7"/>
    <mergeCell ref="E4:H5"/>
    <mergeCell ref="A49:O56"/>
    <mergeCell ref="A47:O48"/>
  </mergeCells>
  <hyperlinks>
    <hyperlink ref="A1" location="Catalogue!A1" display="Back"/>
    <hyperlink ref="A1:O1" location="目录!A1" display="Back"/>
  </hyperlinks>
  <pageMargins left="0.7" right="0.7" top="0.75" bottom="0.75" header="0.3" footer="0.3"/>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37"/>
  <sheetViews>
    <sheetView zoomScale="70" zoomScaleNormal="70" workbookViewId="0">
      <selection activeCell="A2" sqref="A2:L2"/>
    </sheetView>
  </sheetViews>
  <sheetFormatPr defaultColWidth="7" defaultRowHeight="12.75"/>
  <cols>
    <col min="1" max="1" width="6.75" style="376" customWidth="1"/>
    <col min="2" max="3" width="7.5" style="376" customWidth="1"/>
    <col min="4" max="4" width="8.5" style="376" customWidth="1"/>
    <col min="5" max="5" width="7.125" style="376" customWidth="1"/>
    <col min="6" max="6" width="11.375" style="376" customWidth="1"/>
    <col min="7" max="12" width="7.125" style="376" customWidth="1"/>
    <col min="13" max="13" width="7.75" style="376" customWidth="1"/>
    <col min="14" max="14" width="4.375" style="376" customWidth="1"/>
    <col min="15" max="15" width="3.75" style="376" customWidth="1"/>
    <col min="16" max="16" width="6.5" style="376" customWidth="1"/>
    <col min="17" max="17" width="7.5" style="376" customWidth="1"/>
    <col min="18" max="18" width="8.125" style="376" customWidth="1"/>
    <col min="19" max="19" width="7" style="376" customWidth="1"/>
    <col min="20" max="20" width="8.75" style="376" customWidth="1"/>
    <col min="21" max="21" width="7" style="376" customWidth="1"/>
    <col min="22" max="22" width="8.75" style="376" customWidth="1"/>
    <col min="23" max="16384" width="7" style="376"/>
  </cols>
  <sheetData>
    <row r="1" ht="18" spans="1:13">
      <c r="A1" s="3" t="s">
        <v>880</v>
      </c>
      <c r="B1" s="3"/>
      <c r="C1" s="3"/>
      <c r="D1" s="3"/>
      <c r="E1" s="3"/>
      <c r="F1" s="3"/>
      <c r="G1" s="3"/>
      <c r="H1" s="3"/>
      <c r="I1" s="3"/>
      <c r="J1" s="3"/>
      <c r="K1" s="3"/>
      <c r="L1" s="3"/>
      <c r="M1" s="430"/>
    </row>
    <row r="2" ht="56.1" customHeight="1" spans="1:12">
      <c r="A2" s="377" t="str">
        <f>IF(目录!G2="中文",对照!AO2,IF(目录!G2="English",对照!AP2,对照!AO2))</f>
        <v>走水平衡分析报告
Short Shot Balance Report</v>
      </c>
      <c r="B2" s="378"/>
      <c r="C2" s="379"/>
      <c r="D2" s="379"/>
      <c r="E2" s="379"/>
      <c r="F2" s="379"/>
      <c r="G2" s="379"/>
      <c r="H2" s="379"/>
      <c r="I2" s="379"/>
      <c r="J2" s="379"/>
      <c r="K2" s="379"/>
      <c r="L2" s="379"/>
    </row>
    <row r="3" ht="15.95" hidden="1" customHeight="1" spans="1:20">
      <c r="A3" s="380" t="str">
        <f>IF(目录!G2="中文",对照!AO6,IF(目录!G2="English",对照!AP6,对照!AO6))</f>
        <v>最大重量
Maximum weight</v>
      </c>
      <c r="B3" s="381"/>
      <c r="C3" s="382"/>
      <c r="D3" s="380" t="str">
        <f>IF(目录!G2="中文",对照!AO4,IF(目录!G2="English",对照!AP4,对照!AO4))</f>
        <v>型腔
Cavity</v>
      </c>
      <c r="E3" s="383"/>
      <c r="F3" s="383"/>
      <c r="G3" s="380" t="str">
        <f>IF(目录!G2="中文",对照!AO7,IF(目录!G2="English",对照!AP7,对照!AO7))</f>
        <v>最小重量
Minimum weight</v>
      </c>
      <c r="H3" s="381"/>
      <c r="I3" s="431"/>
      <c r="J3" s="380" t="str">
        <f>IF(目录!G2="中文",对照!AO4,IF(目录!G2="English",对照!AP4,对照!AO4))</f>
        <v>型腔
Cavity</v>
      </c>
      <c r="K3" s="383"/>
      <c r="L3" s="383"/>
      <c r="M3" s="387"/>
      <c r="N3" s="432"/>
      <c r="O3" s="432"/>
      <c r="P3" s="433"/>
      <c r="Q3" s="450"/>
      <c r="R3" s="450"/>
      <c r="S3" s="450"/>
      <c r="T3" s="450"/>
    </row>
    <row r="4" ht="15.95" hidden="1" customHeight="1" spans="1:20">
      <c r="A4" s="384"/>
      <c r="B4" s="385"/>
      <c r="C4" s="386"/>
      <c r="D4" s="384"/>
      <c r="E4" s="383"/>
      <c r="F4" s="383"/>
      <c r="G4" s="384"/>
      <c r="H4" s="385"/>
      <c r="I4" s="434"/>
      <c r="J4" s="384"/>
      <c r="K4" s="383"/>
      <c r="L4" s="383"/>
      <c r="M4" s="387"/>
      <c r="N4" s="432"/>
      <c r="O4" s="432"/>
      <c r="P4" s="433"/>
      <c r="Q4" s="450"/>
      <c r="R4" s="450"/>
      <c r="S4" s="450"/>
      <c r="T4" s="450"/>
    </row>
    <row r="5" ht="15.95" hidden="1" customHeight="1" spans="1:20">
      <c r="A5" s="387"/>
      <c r="B5" s="387"/>
      <c r="C5" s="388"/>
      <c r="D5" s="388"/>
      <c r="E5" s="389"/>
      <c r="F5" s="390"/>
      <c r="G5" s="390"/>
      <c r="H5" s="390"/>
      <c r="I5" s="390"/>
      <c r="J5" s="390"/>
      <c r="K5" s="390"/>
      <c r="L5" s="390"/>
      <c r="M5" s="387"/>
      <c r="N5" s="432"/>
      <c r="O5" s="432"/>
      <c r="P5" s="433"/>
      <c r="Q5" s="450"/>
      <c r="R5" s="450"/>
      <c r="S5" s="450"/>
      <c r="T5" s="450"/>
    </row>
    <row r="6" ht="15.95" hidden="1" customHeight="1" spans="1:18">
      <c r="A6" s="380" t="str">
        <f>IF(目录!G2="中文",对照!AO8,IF(目录!G2="English",对照!AP8,对照!AO8))</f>
        <v>平衡度
Balance</v>
      </c>
      <c r="B6" s="381"/>
      <c r="C6" s="391"/>
      <c r="D6" s="391"/>
      <c r="E6" s="392"/>
      <c r="F6" s="390"/>
      <c r="G6" s="380" t="str">
        <f>IF(目录!G2="中文",对照!AO9,IF(目录!G2="English",对照!AP9,对照!AO9))</f>
        <v>判定结果
Result</v>
      </c>
      <c r="H6" s="381"/>
      <c r="I6" s="435"/>
      <c r="J6" s="435"/>
      <c r="K6" s="436"/>
      <c r="L6" s="390"/>
      <c r="M6" s="388"/>
      <c r="N6" s="437"/>
      <c r="O6" s="388"/>
      <c r="P6" s="438"/>
      <c r="Q6" s="451"/>
      <c r="R6" s="452"/>
    </row>
    <row r="7" ht="15.95" hidden="1" customHeight="1" spans="1:13">
      <c r="A7" s="384"/>
      <c r="B7" s="385"/>
      <c r="C7" s="391"/>
      <c r="D7" s="391"/>
      <c r="E7" s="393"/>
      <c r="F7" s="393"/>
      <c r="G7" s="384"/>
      <c r="H7" s="385"/>
      <c r="I7" s="435"/>
      <c r="J7" s="435"/>
      <c r="K7" s="393"/>
      <c r="L7" s="393"/>
      <c r="M7"/>
    </row>
    <row r="8" ht="15.95" hidden="1" customHeight="1" spans="1:13">
      <c r="A8" s="394"/>
      <c r="B8" s="394"/>
      <c r="C8" s="395"/>
      <c r="D8" s="395"/>
      <c r="E8" s="393"/>
      <c r="F8" s="393"/>
      <c r="G8" s="394"/>
      <c r="H8" s="394"/>
      <c r="I8" s="439"/>
      <c r="J8" s="439"/>
      <c r="K8" s="393"/>
      <c r="L8" s="393"/>
      <c r="M8"/>
    </row>
    <row r="9" s="318" customFormat="1" ht="15.95" hidden="1" customHeight="1" spans="1:15">
      <c r="A9" s="396" t="s">
        <v>1731</v>
      </c>
      <c r="B9" s="396"/>
      <c r="C9" s="396"/>
      <c r="D9" s="396"/>
      <c r="E9" s="396"/>
      <c r="F9" s="396"/>
      <c r="G9" s="396"/>
      <c r="H9" s="396"/>
      <c r="I9" s="396"/>
      <c r="J9" s="396"/>
      <c r="K9" s="396"/>
      <c r="L9" s="396"/>
      <c r="M9" s="362"/>
      <c r="N9" s="362"/>
      <c r="O9" s="360"/>
    </row>
    <row r="10" s="318" customFormat="1" ht="15.95" hidden="1" customHeight="1" spans="1:15">
      <c r="A10" s="397"/>
      <c r="B10" s="397"/>
      <c r="C10" s="397"/>
      <c r="D10" s="397"/>
      <c r="E10" s="397"/>
      <c r="F10" s="397"/>
      <c r="G10" s="397"/>
      <c r="H10" s="397"/>
      <c r="I10" s="397"/>
      <c r="J10" s="397"/>
      <c r="K10" s="397"/>
      <c r="L10" s="397"/>
      <c r="M10" s="362"/>
      <c r="N10" s="362"/>
      <c r="O10" s="362"/>
    </row>
    <row r="11" s="318" customFormat="1" ht="15.95" hidden="1" customHeight="1" spans="1:16">
      <c r="A11" s="398"/>
      <c r="B11" s="399"/>
      <c r="C11" s="399"/>
      <c r="D11" s="399"/>
      <c r="E11" s="399"/>
      <c r="F11" s="399"/>
      <c r="G11" s="399"/>
      <c r="H11" s="399"/>
      <c r="I11" s="399"/>
      <c r="J11" s="399"/>
      <c r="K11" s="399"/>
      <c r="L11" s="440"/>
      <c r="M11"/>
      <c r="N11" s="376"/>
      <c r="O11" s="376"/>
      <c r="P11" s="350"/>
    </row>
    <row r="12" s="318" customFormat="1" ht="15.95" hidden="1" customHeight="1" spans="1:16">
      <c r="A12" s="400"/>
      <c r="B12" s="401"/>
      <c r="C12" s="401"/>
      <c r="D12" s="401"/>
      <c r="E12" s="401"/>
      <c r="F12" s="401"/>
      <c r="G12" s="401"/>
      <c r="H12" s="401"/>
      <c r="I12" s="401"/>
      <c r="J12" s="401"/>
      <c r="K12" s="401"/>
      <c r="L12" s="441"/>
      <c r="M12"/>
      <c r="N12" s="376"/>
      <c r="O12" s="376"/>
      <c r="P12" s="350"/>
    </row>
    <row r="13" s="318" customFormat="1" ht="15.95" hidden="1" customHeight="1" spans="1:16">
      <c r="A13" s="400"/>
      <c r="B13" s="401"/>
      <c r="C13" s="401"/>
      <c r="D13" s="401"/>
      <c r="E13" s="401"/>
      <c r="F13" s="401"/>
      <c r="G13" s="401"/>
      <c r="H13" s="401"/>
      <c r="I13" s="401"/>
      <c r="J13" s="401"/>
      <c r="K13" s="401"/>
      <c r="L13" s="441"/>
      <c r="M13"/>
      <c r="N13" s="376"/>
      <c r="O13" s="376"/>
      <c r="P13" s="350"/>
    </row>
    <row r="14" s="318" customFormat="1" ht="15.95" hidden="1" customHeight="1" spans="1:16">
      <c r="A14" s="402"/>
      <c r="B14" s="403"/>
      <c r="C14" s="403"/>
      <c r="D14" s="403"/>
      <c r="E14" s="403"/>
      <c r="F14" s="403"/>
      <c r="G14" s="403"/>
      <c r="H14" s="403"/>
      <c r="I14" s="403"/>
      <c r="J14" s="403"/>
      <c r="K14" s="403"/>
      <c r="L14" s="442"/>
      <c r="M14"/>
      <c r="N14" s="376"/>
      <c r="O14" s="376"/>
      <c r="P14" s="350"/>
    </row>
    <row r="15" ht="15.95" hidden="1" customHeight="1" spans="1:13">
      <c r="A15" s="372"/>
      <c r="B15" s="372"/>
      <c r="C15" s="372"/>
      <c r="D15" s="372"/>
      <c r="E15" s="372"/>
      <c r="F15" s="372"/>
      <c r="G15" s="372"/>
      <c r="H15" s="372"/>
      <c r="I15" s="372"/>
      <c r="J15" s="372"/>
      <c r="K15" s="372"/>
      <c r="L15" s="372"/>
      <c r="M15"/>
    </row>
    <row r="16" ht="15.95" customHeight="1" spans="1:20">
      <c r="A16" s="404" t="s">
        <v>1732</v>
      </c>
      <c r="B16" s="405"/>
      <c r="C16" s="405"/>
      <c r="D16" s="405"/>
      <c r="E16" s="405"/>
      <c r="F16" s="405"/>
      <c r="G16" s="405"/>
      <c r="H16" s="405"/>
      <c r="I16" s="405"/>
      <c r="J16" s="405"/>
      <c r="K16" s="405"/>
      <c r="L16" s="443"/>
      <c r="M16" s="444"/>
      <c r="N16" s="445"/>
      <c r="O16" s="445"/>
      <c r="P16" s="446"/>
      <c r="Q16" s="446"/>
      <c r="R16" s="446"/>
      <c r="S16" s="446"/>
      <c r="T16" s="446"/>
    </row>
    <row r="17" ht="15.95" customHeight="1" spans="1:20">
      <c r="A17" s="406"/>
      <c r="B17" s="407"/>
      <c r="C17" s="407"/>
      <c r="D17" s="407"/>
      <c r="E17" s="407"/>
      <c r="F17" s="407"/>
      <c r="G17" s="407"/>
      <c r="H17" s="407"/>
      <c r="I17" s="407"/>
      <c r="J17" s="407"/>
      <c r="K17" s="407"/>
      <c r="L17" s="447"/>
      <c r="M17" s="444"/>
      <c r="N17" s="445"/>
      <c r="O17" s="445"/>
      <c r="P17" s="446"/>
      <c r="Q17" s="446"/>
      <c r="R17" s="446"/>
      <c r="S17" s="446"/>
      <c r="T17" s="446"/>
    </row>
    <row r="18" ht="15.95" customHeight="1" spans="1:20">
      <c r="A18" s="408" t="str">
        <f>IF(目录!G2="中文",对照!AO4,IF(目录!G2="English",对照!AP4,对照!AO4))</f>
        <v>型腔
Cavity</v>
      </c>
      <c r="B18" s="409" t="str">
        <f>IF(目录!G2="中文",对照!AO5,IF(目录!G2="English",对照!AP5,对照!AO5))</f>
        <v>重量(g)
Weight(g)</v>
      </c>
      <c r="C18" s="410"/>
      <c r="D18" s="411"/>
      <c r="E18" s="412"/>
      <c r="F18" s="413" t="str">
        <f>IF(目录!G2="中文",对照!AO4,IF(目录!G2="English",对照!AP4,对照!AO4))</f>
        <v>型腔
Cavity</v>
      </c>
      <c r="G18" s="414" t="s">
        <v>1733</v>
      </c>
      <c r="H18" s="415"/>
      <c r="I18" s="414" t="s">
        <v>1734</v>
      </c>
      <c r="J18" s="415"/>
      <c r="K18" s="414" t="s">
        <v>1735</v>
      </c>
      <c r="L18" s="415"/>
      <c r="M18" s="448"/>
      <c r="N18" s="445"/>
      <c r="O18" s="445"/>
      <c r="P18" s="446"/>
      <c r="Q18" s="446"/>
      <c r="R18" s="446"/>
      <c r="S18" s="446"/>
      <c r="T18" s="446"/>
    </row>
    <row r="19" ht="15.95" customHeight="1" spans="1:20">
      <c r="A19" s="416"/>
      <c r="B19" s="417"/>
      <c r="C19" s="418"/>
      <c r="D19" s="411"/>
      <c r="E19" s="412"/>
      <c r="F19" s="419"/>
      <c r="G19" s="420"/>
      <c r="H19" s="421"/>
      <c r="I19" s="420"/>
      <c r="J19" s="421"/>
      <c r="K19" s="420"/>
      <c r="L19" s="421"/>
      <c r="M19" s="448"/>
      <c r="N19" s="445"/>
      <c r="O19" s="445"/>
      <c r="P19" s="446"/>
      <c r="Q19" s="446"/>
      <c r="R19" s="446"/>
      <c r="S19" s="446"/>
      <c r="T19" s="446"/>
    </row>
    <row r="20" ht="15.95" customHeight="1" spans="1:20">
      <c r="A20" s="422">
        <v>1</v>
      </c>
      <c r="B20" s="423" t="e">
        <f t="shared" ref="B20:B25" si="0">IF(AVERAGE(G20:L20),AVERAGE(G20:L20),NA())</f>
        <v>#DIV/0!</v>
      </c>
      <c r="C20" s="424"/>
      <c r="D20" s="425"/>
      <c r="E20" s="389"/>
      <c r="F20" s="426">
        <v>1</v>
      </c>
      <c r="G20" s="427"/>
      <c r="H20" s="428"/>
      <c r="I20" s="427"/>
      <c r="J20" s="428"/>
      <c r="K20" s="427"/>
      <c r="L20" s="428"/>
      <c r="M20" s="388"/>
      <c r="N20" s="432"/>
      <c r="O20" s="432"/>
      <c r="P20" s="433"/>
      <c r="Q20" s="450"/>
      <c r="R20" s="450"/>
      <c r="S20" s="450"/>
      <c r="T20" s="450"/>
    </row>
    <row r="21" ht="15.95" customHeight="1" spans="1:20">
      <c r="A21" s="422">
        <v>2</v>
      </c>
      <c r="B21" s="423" t="e">
        <f t="shared" si="0"/>
        <v>#DIV/0!</v>
      </c>
      <c r="C21" s="424"/>
      <c r="D21" s="425"/>
      <c r="E21" s="429"/>
      <c r="F21" s="426">
        <v>2</v>
      </c>
      <c r="G21" s="427"/>
      <c r="H21" s="428"/>
      <c r="I21" s="427"/>
      <c r="J21" s="428"/>
      <c r="K21" s="427"/>
      <c r="L21" s="428"/>
      <c r="M21" s="388"/>
      <c r="N21" s="449"/>
      <c r="O21" s="449"/>
      <c r="P21" s="433"/>
      <c r="Q21" s="450"/>
      <c r="R21" s="450"/>
      <c r="S21" s="450"/>
      <c r="T21" s="450"/>
    </row>
    <row r="22" ht="15.95" customHeight="1" spans="1:20">
      <c r="A22" s="422">
        <v>3</v>
      </c>
      <c r="B22" s="423" t="e">
        <f t="shared" si="0"/>
        <v>#DIV/0!</v>
      </c>
      <c r="C22" s="424"/>
      <c r="D22" s="425"/>
      <c r="E22" s="429"/>
      <c r="F22" s="426">
        <v>3</v>
      </c>
      <c r="G22" s="427"/>
      <c r="H22" s="428"/>
      <c r="I22" s="427"/>
      <c r="J22" s="428"/>
      <c r="K22" s="427"/>
      <c r="L22" s="428"/>
      <c r="M22" s="388"/>
      <c r="N22" s="449"/>
      <c r="O22" s="449"/>
      <c r="P22" s="433"/>
      <c r="Q22" s="450"/>
      <c r="R22" s="450"/>
      <c r="S22" s="450"/>
      <c r="T22" s="450"/>
    </row>
    <row r="23" ht="15.95" customHeight="1" spans="1:20">
      <c r="A23" s="422">
        <v>4</v>
      </c>
      <c r="B23" s="423" t="e">
        <f t="shared" si="0"/>
        <v>#DIV/0!</v>
      </c>
      <c r="C23" s="424"/>
      <c r="D23" s="425"/>
      <c r="E23" s="429"/>
      <c r="F23" s="426">
        <v>4</v>
      </c>
      <c r="G23" s="427"/>
      <c r="H23" s="428"/>
      <c r="I23" s="427"/>
      <c r="J23" s="428"/>
      <c r="K23" s="427"/>
      <c r="L23" s="428"/>
      <c r="M23" s="388"/>
      <c r="N23" s="449"/>
      <c r="O23" s="449"/>
      <c r="P23" s="433"/>
      <c r="Q23" s="450"/>
      <c r="R23" s="450"/>
      <c r="S23" s="450"/>
      <c r="T23" s="450"/>
    </row>
    <row r="24" ht="15.95" customHeight="1" spans="1:20">
      <c r="A24" s="422">
        <v>5</v>
      </c>
      <c r="B24" s="423" t="e">
        <f t="shared" si="0"/>
        <v>#DIV/0!</v>
      </c>
      <c r="C24" s="424"/>
      <c r="D24" s="425"/>
      <c r="E24" s="429"/>
      <c r="F24" s="426">
        <v>5</v>
      </c>
      <c r="G24" s="427"/>
      <c r="H24" s="428"/>
      <c r="I24" s="427"/>
      <c r="J24" s="428"/>
      <c r="K24" s="427"/>
      <c r="L24" s="428"/>
      <c r="M24" s="388"/>
      <c r="N24" s="449"/>
      <c r="O24" s="449"/>
      <c r="P24" s="433"/>
      <c r="Q24" s="450"/>
      <c r="R24" s="450"/>
      <c r="S24" s="450"/>
      <c r="T24" s="450"/>
    </row>
    <row r="25" ht="15.95" customHeight="1" spans="1:20">
      <c r="A25" s="422">
        <v>6</v>
      </c>
      <c r="B25" s="423" t="e">
        <f t="shared" si="0"/>
        <v>#DIV/0!</v>
      </c>
      <c r="C25" s="424"/>
      <c r="D25" s="425"/>
      <c r="E25" s="429"/>
      <c r="F25" s="426">
        <v>6</v>
      </c>
      <c r="G25" s="427"/>
      <c r="H25" s="428"/>
      <c r="I25" s="427"/>
      <c r="J25" s="428"/>
      <c r="K25" s="427"/>
      <c r="L25" s="428"/>
      <c r="M25" s="388"/>
      <c r="N25" s="449"/>
      <c r="O25" s="449"/>
      <c r="P25" s="433"/>
      <c r="Q25" s="450"/>
      <c r="R25" s="450"/>
      <c r="S25" s="450"/>
      <c r="T25" s="450"/>
    </row>
    <row r="26" ht="15.95" customHeight="1" spans="1:20">
      <c r="A26" s="422">
        <v>7</v>
      </c>
      <c r="B26" s="423" t="e">
        <f t="shared" ref="B26:B84" si="1">AVERAGE(G26:L26)</f>
        <v>#DIV/0!</v>
      </c>
      <c r="C26" s="424"/>
      <c r="D26" s="425"/>
      <c r="E26" s="429"/>
      <c r="F26" s="426">
        <v>7</v>
      </c>
      <c r="G26" s="427"/>
      <c r="H26" s="428"/>
      <c r="I26" s="427"/>
      <c r="J26" s="428"/>
      <c r="K26" s="427"/>
      <c r="L26" s="428"/>
      <c r="M26" s="388"/>
      <c r="N26" s="449"/>
      <c r="O26" s="449"/>
      <c r="P26" s="433"/>
      <c r="Q26" s="450"/>
      <c r="R26" s="450"/>
      <c r="S26" s="450"/>
      <c r="T26" s="450"/>
    </row>
    <row r="27" ht="15.95" customHeight="1" spans="1:20">
      <c r="A27" s="422">
        <v>8</v>
      </c>
      <c r="B27" s="423" t="e">
        <f t="shared" si="1"/>
        <v>#DIV/0!</v>
      </c>
      <c r="C27" s="424"/>
      <c r="D27" s="425"/>
      <c r="E27" s="429"/>
      <c r="F27" s="426">
        <v>8</v>
      </c>
      <c r="G27" s="427"/>
      <c r="H27" s="428"/>
      <c r="I27" s="427"/>
      <c r="J27" s="428"/>
      <c r="K27" s="427"/>
      <c r="L27" s="428"/>
      <c r="M27" s="388"/>
      <c r="N27" s="449"/>
      <c r="O27" s="449"/>
      <c r="P27" s="433"/>
      <c r="Q27" s="450"/>
      <c r="R27" s="450"/>
      <c r="S27" s="450"/>
      <c r="T27" s="450"/>
    </row>
    <row r="28" ht="15.95" customHeight="1" spans="1:20">
      <c r="A28" s="422">
        <v>9</v>
      </c>
      <c r="B28" s="423" t="e">
        <f t="shared" si="1"/>
        <v>#DIV/0!</v>
      </c>
      <c r="C28" s="424"/>
      <c r="D28" s="425"/>
      <c r="E28" s="429"/>
      <c r="F28" s="426">
        <v>9</v>
      </c>
      <c r="G28" s="427"/>
      <c r="H28" s="428"/>
      <c r="I28" s="427"/>
      <c r="J28" s="428"/>
      <c r="K28" s="427"/>
      <c r="L28" s="428"/>
      <c r="M28" s="388"/>
      <c r="N28" s="449"/>
      <c r="O28" s="449"/>
      <c r="P28" s="433"/>
      <c r="Q28" s="450"/>
      <c r="R28" s="450"/>
      <c r="S28" s="450"/>
      <c r="T28" s="450"/>
    </row>
    <row r="29" ht="15.95" customHeight="1" spans="1:20">
      <c r="A29" s="422">
        <v>10</v>
      </c>
      <c r="B29" s="423" t="e">
        <f t="shared" si="1"/>
        <v>#DIV/0!</v>
      </c>
      <c r="C29" s="424"/>
      <c r="D29" s="425"/>
      <c r="E29" s="429"/>
      <c r="F29" s="426">
        <v>10</v>
      </c>
      <c r="G29" s="427"/>
      <c r="H29" s="428"/>
      <c r="I29" s="427"/>
      <c r="J29" s="428"/>
      <c r="K29" s="427"/>
      <c r="L29" s="428"/>
      <c r="M29" s="388"/>
      <c r="N29" s="449"/>
      <c r="O29" s="449"/>
      <c r="P29" s="433"/>
      <c r="Q29" s="450"/>
      <c r="R29" s="450"/>
      <c r="S29" s="450"/>
      <c r="T29" s="450"/>
    </row>
    <row r="30" ht="15.95" customHeight="1" spans="1:20">
      <c r="A30" s="422">
        <v>11</v>
      </c>
      <c r="B30" s="423" t="e">
        <f t="shared" si="1"/>
        <v>#DIV/0!</v>
      </c>
      <c r="C30" s="424"/>
      <c r="D30" s="425"/>
      <c r="E30" s="429"/>
      <c r="F30" s="426">
        <v>11</v>
      </c>
      <c r="G30" s="427"/>
      <c r="H30" s="428"/>
      <c r="I30" s="427"/>
      <c r="J30" s="428"/>
      <c r="K30" s="427"/>
      <c r="L30" s="428"/>
      <c r="M30" s="388"/>
      <c r="N30" s="449"/>
      <c r="O30" s="449"/>
      <c r="P30" s="433"/>
      <c r="Q30" s="450"/>
      <c r="R30" s="450"/>
      <c r="S30" s="450"/>
      <c r="T30" s="450"/>
    </row>
    <row r="31" ht="15.95" customHeight="1" spans="1:20">
      <c r="A31" s="422">
        <v>12</v>
      </c>
      <c r="B31" s="423" t="e">
        <f t="shared" si="1"/>
        <v>#DIV/0!</v>
      </c>
      <c r="C31" s="424"/>
      <c r="D31" s="425"/>
      <c r="E31" s="429"/>
      <c r="F31" s="426">
        <v>12</v>
      </c>
      <c r="G31" s="427"/>
      <c r="H31" s="428"/>
      <c r="I31" s="427"/>
      <c r="J31" s="428"/>
      <c r="K31" s="427"/>
      <c r="L31" s="428"/>
      <c r="M31" s="388"/>
      <c r="N31" s="449"/>
      <c r="O31" s="449"/>
      <c r="P31" s="433"/>
      <c r="Q31" s="450"/>
      <c r="R31" s="450"/>
      <c r="S31" s="450"/>
      <c r="T31" s="450"/>
    </row>
    <row r="32" ht="15.95" customHeight="1" spans="1:20">
      <c r="A32" s="422">
        <v>13</v>
      </c>
      <c r="B32" s="423" t="e">
        <f t="shared" si="1"/>
        <v>#DIV/0!</v>
      </c>
      <c r="C32" s="424"/>
      <c r="D32" s="425"/>
      <c r="E32" s="429"/>
      <c r="F32" s="426">
        <v>13</v>
      </c>
      <c r="G32" s="427"/>
      <c r="H32" s="428"/>
      <c r="I32" s="427"/>
      <c r="J32" s="428"/>
      <c r="K32" s="427"/>
      <c r="L32" s="428"/>
      <c r="M32" s="388"/>
      <c r="N32" s="449"/>
      <c r="O32" s="449"/>
      <c r="P32" s="433"/>
      <c r="Q32" s="450"/>
      <c r="R32" s="450"/>
      <c r="S32" s="450"/>
      <c r="T32" s="450"/>
    </row>
    <row r="33" ht="15.95" customHeight="1" spans="1:20">
      <c r="A33" s="422">
        <v>14</v>
      </c>
      <c r="B33" s="423" t="e">
        <f t="shared" si="1"/>
        <v>#DIV/0!</v>
      </c>
      <c r="C33" s="424"/>
      <c r="D33" s="425"/>
      <c r="E33" s="429"/>
      <c r="F33" s="426">
        <v>14</v>
      </c>
      <c r="G33" s="427"/>
      <c r="H33" s="428"/>
      <c r="I33" s="427"/>
      <c r="J33" s="428"/>
      <c r="K33" s="427"/>
      <c r="L33" s="428"/>
      <c r="M33" s="388"/>
      <c r="N33" s="449"/>
      <c r="O33" s="449"/>
      <c r="P33" s="433"/>
      <c r="Q33" s="450"/>
      <c r="R33" s="450"/>
      <c r="S33" s="450"/>
      <c r="T33" s="450"/>
    </row>
    <row r="34" ht="15.95" customHeight="1" spans="1:20">
      <c r="A34" s="422">
        <v>15</v>
      </c>
      <c r="B34" s="423" t="e">
        <f t="shared" si="1"/>
        <v>#DIV/0!</v>
      </c>
      <c r="C34" s="424"/>
      <c r="D34" s="425"/>
      <c r="E34" s="429"/>
      <c r="F34" s="426">
        <v>15</v>
      </c>
      <c r="G34" s="427"/>
      <c r="H34" s="428"/>
      <c r="I34" s="427"/>
      <c r="J34" s="428"/>
      <c r="K34" s="427"/>
      <c r="L34" s="428"/>
      <c r="M34" s="388"/>
      <c r="N34" s="449"/>
      <c r="O34" s="449"/>
      <c r="P34" s="433"/>
      <c r="Q34" s="450"/>
      <c r="R34" s="450"/>
      <c r="S34" s="450"/>
      <c r="T34" s="450"/>
    </row>
    <row r="35" ht="15.95" customHeight="1" spans="1:20">
      <c r="A35" s="422">
        <v>16</v>
      </c>
      <c r="B35" s="423" t="e">
        <f t="shared" si="1"/>
        <v>#DIV/0!</v>
      </c>
      <c r="C35" s="424"/>
      <c r="D35" s="425"/>
      <c r="E35" s="429"/>
      <c r="F35" s="426">
        <v>16</v>
      </c>
      <c r="G35" s="427"/>
      <c r="H35" s="428"/>
      <c r="I35" s="427"/>
      <c r="J35" s="428"/>
      <c r="K35" s="427"/>
      <c r="L35" s="428"/>
      <c r="M35" s="388"/>
      <c r="N35" s="449"/>
      <c r="O35" s="449"/>
      <c r="P35" s="433"/>
      <c r="Q35" s="450"/>
      <c r="R35" s="450"/>
      <c r="S35" s="450"/>
      <c r="T35" s="450"/>
    </row>
    <row r="36" ht="15.95" customHeight="1" spans="1:20">
      <c r="A36" s="422">
        <v>17</v>
      </c>
      <c r="B36" s="423" t="e">
        <f t="shared" si="1"/>
        <v>#DIV/0!</v>
      </c>
      <c r="C36" s="424"/>
      <c r="D36" s="425"/>
      <c r="E36" s="429"/>
      <c r="F36" s="426">
        <v>17</v>
      </c>
      <c r="G36" s="427"/>
      <c r="H36" s="428"/>
      <c r="I36" s="427"/>
      <c r="J36" s="428"/>
      <c r="K36" s="427"/>
      <c r="L36" s="428"/>
      <c r="M36" s="388"/>
      <c r="N36" s="449"/>
      <c r="O36" s="449"/>
      <c r="P36" s="433"/>
      <c r="Q36" s="450"/>
      <c r="R36" s="450"/>
      <c r="S36" s="450"/>
      <c r="T36" s="450"/>
    </row>
    <row r="37" ht="15.95" customHeight="1" spans="1:20">
      <c r="A37" s="422">
        <v>18</v>
      </c>
      <c r="B37" s="423" t="e">
        <f t="shared" si="1"/>
        <v>#DIV/0!</v>
      </c>
      <c r="C37" s="424"/>
      <c r="D37" s="425"/>
      <c r="E37" s="429"/>
      <c r="F37" s="426">
        <v>18</v>
      </c>
      <c r="G37" s="427"/>
      <c r="H37" s="428"/>
      <c r="I37" s="427"/>
      <c r="J37" s="428"/>
      <c r="K37" s="427"/>
      <c r="L37" s="428"/>
      <c r="M37" s="388"/>
      <c r="N37" s="449"/>
      <c r="O37" s="449"/>
      <c r="P37" s="433"/>
      <c r="Q37" s="450"/>
      <c r="R37" s="450"/>
      <c r="S37" s="450"/>
      <c r="T37" s="450"/>
    </row>
    <row r="38" ht="15.95" customHeight="1" spans="1:20">
      <c r="A38" s="422">
        <v>19</v>
      </c>
      <c r="B38" s="423" t="e">
        <f t="shared" si="1"/>
        <v>#DIV/0!</v>
      </c>
      <c r="C38" s="424"/>
      <c r="D38" s="425"/>
      <c r="E38" s="429"/>
      <c r="F38" s="426">
        <v>19</v>
      </c>
      <c r="G38" s="427"/>
      <c r="H38" s="428"/>
      <c r="I38" s="427"/>
      <c r="J38" s="428"/>
      <c r="K38" s="427"/>
      <c r="L38" s="428"/>
      <c r="M38" s="388"/>
      <c r="N38" s="449"/>
      <c r="O38" s="449"/>
      <c r="P38" s="433"/>
      <c r="Q38" s="450"/>
      <c r="R38" s="450"/>
      <c r="S38" s="450"/>
      <c r="T38" s="450"/>
    </row>
    <row r="39" ht="15.95" customHeight="1" spans="1:20">
      <c r="A39" s="422">
        <v>20</v>
      </c>
      <c r="B39" s="423" t="e">
        <f t="shared" si="1"/>
        <v>#DIV/0!</v>
      </c>
      <c r="C39" s="424"/>
      <c r="D39" s="425"/>
      <c r="E39" s="429"/>
      <c r="F39" s="426">
        <v>20</v>
      </c>
      <c r="G39" s="427"/>
      <c r="H39" s="428"/>
      <c r="I39" s="427"/>
      <c r="J39" s="428"/>
      <c r="K39" s="427"/>
      <c r="L39" s="428"/>
      <c r="M39" s="388"/>
      <c r="N39" s="449"/>
      <c r="O39" s="449"/>
      <c r="P39" s="433"/>
      <c r="Q39" s="450"/>
      <c r="R39" s="450"/>
      <c r="S39" s="450"/>
      <c r="T39" s="450"/>
    </row>
    <row r="40" ht="15.95" customHeight="1" spans="1:20">
      <c r="A40" s="422">
        <v>21</v>
      </c>
      <c r="B40" s="423" t="e">
        <f t="shared" si="1"/>
        <v>#DIV/0!</v>
      </c>
      <c r="C40" s="424"/>
      <c r="D40" s="425"/>
      <c r="E40" s="429"/>
      <c r="F40" s="426">
        <v>21</v>
      </c>
      <c r="G40" s="427"/>
      <c r="H40" s="428"/>
      <c r="I40" s="427"/>
      <c r="J40" s="428"/>
      <c r="K40" s="427"/>
      <c r="L40" s="428"/>
      <c r="M40" s="388"/>
      <c r="N40" s="449"/>
      <c r="O40" s="449"/>
      <c r="P40" s="433"/>
      <c r="Q40" s="450"/>
      <c r="R40" s="450"/>
      <c r="S40" s="450"/>
      <c r="T40" s="450"/>
    </row>
    <row r="41" ht="15.95" customHeight="1" spans="1:20">
      <c r="A41" s="422">
        <v>22</v>
      </c>
      <c r="B41" s="423" t="e">
        <f t="shared" si="1"/>
        <v>#DIV/0!</v>
      </c>
      <c r="C41" s="424"/>
      <c r="D41" s="425"/>
      <c r="E41" s="429"/>
      <c r="F41" s="426">
        <v>22</v>
      </c>
      <c r="G41" s="427"/>
      <c r="H41" s="428"/>
      <c r="I41" s="427"/>
      <c r="J41" s="428"/>
      <c r="K41" s="427"/>
      <c r="L41" s="428"/>
      <c r="M41" s="388"/>
      <c r="N41" s="449"/>
      <c r="O41" s="449"/>
      <c r="P41" s="433"/>
      <c r="Q41" s="450"/>
      <c r="R41" s="450"/>
      <c r="S41" s="450"/>
      <c r="T41" s="450"/>
    </row>
    <row r="42" ht="15.95" customHeight="1" spans="1:20">
      <c r="A42" s="422">
        <v>23</v>
      </c>
      <c r="B42" s="423" t="e">
        <f t="shared" si="1"/>
        <v>#DIV/0!</v>
      </c>
      <c r="C42" s="424"/>
      <c r="D42" s="425"/>
      <c r="E42" s="429"/>
      <c r="F42" s="426">
        <v>23</v>
      </c>
      <c r="G42" s="427"/>
      <c r="H42" s="428"/>
      <c r="I42" s="427"/>
      <c r="J42" s="428"/>
      <c r="K42" s="427"/>
      <c r="L42" s="428"/>
      <c r="M42" s="388"/>
      <c r="N42" s="449"/>
      <c r="O42" s="449"/>
      <c r="P42" s="433"/>
      <c r="Q42" s="450"/>
      <c r="R42" s="450"/>
      <c r="S42" s="450"/>
      <c r="T42" s="450"/>
    </row>
    <row r="43" ht="15.95" customHeight="1" spans="1:20">
      <c r="A43" s="422">
        <v>24</v>
      </c>
      <c r="B43" s="423" t="e">
        <f t="shared" si="1"/>
        <v>#DIV/0!</v>
      </c>
      <c r="C43" s="424"/>
      <c r="D43" s="425"/>
      <c r="E43" s="429"/>
      <c r="F43" s="426">
        <v>24</v>
      </c>
      <c r="G43" s="427"/>
      <c r="H43" s="428"/>
      <c r="I43" s="427"/>
      <c r="J43" s="428"/>
      <c r="K43" s="427"/>
      <c r="L43" s="428"/>
      <c r="M43" s="388"/>
      <c r="N43" s="449"/>
      <c r="O43" s="449"/>
      <c r="P43" s="433"/>
      <c r="Q43" s="450"/>
      <c r="R43" s="450"/>
      <c r="S43" s="450"/>
      <c r="T43" s="450"/>
    </row>
    <row r="44" ht="15.95" customHeight="1" spans="1:20">
      <c r="A44" s="422">
        <v>25</v>
      </c>
      <c r="B44" s="423" t="e">
        <f t="shared" si="1"/>
        <v>#DIV/0!</v>
      </c>
      <c r="C44" s="424"/>
      <c r="D44" s="425"/>
      <c r="E44" s="429"/>
      <c r="F44" s="426">
        <v>25</v>
      </c>
      <c r="G44" s="427"/>
      <c r="H44" s="428"/>
      <c r="I44" s="427"/>
      <c r="J44" s="428"/>
      <c r="K44" s="427"/>
      <c r="L44" s="428"/>
      <c r="M44" s="388"/>
      <c r="N44" s="449"/>
      <c r="O44" s="449"/>
      <c r="P44" s="433"/>
      <c r="Q44" s="450"/>
      <c r="R44" s="450"/>
      <c r="S44" s="450"/>
      <c r="T44" s="450"/>
    </row>
    <row r="45" ht="15.95" customHeight="1" spans="1:20">
      <c r="A45" s="422">
        <v>26</v>
      </c>
      <c r="B45" s="423" t="e">
        <f t="shared" si="1"/>
        <v>#DIV/0!</v>
      </c>
      <c r="C45" s="424"/>
      <c r="D45" s="425"/>
      <c r="E45" s="429"/>
      <c r="F45" s="426">
        <v>26</v>
      </c>
      <c r="G45" s="427"/>
      <c r="H45" s="428"/>
      <c r="I45" s="427"/>
      <c r="J45" s="428"/>
      <c r="K45" s="427"/>
      <c r="L45" s="428"/>
      <c r="M45" s="388"/>
      <c r="N45" s="449"/>
      <c r="O45" s="449"/>
      <c r="P45" s="433"/>
      <c r="Q45" s="450"/>
      <c r="R45" s="450"/>
      <c r="S45" s="450"/>
      <c r="T45" s="450"/>
    </row>
    <row r="46" ht="15.95" customHeight="1" spans="1:20">
      <c r="A46" s="422">
        <v>27</v>
      </c>
      <c r="B46" s="423" t="e">
        <f t="shared" si="1"/>
        <v>#DIV/0!</v>
      </c>
      <c r="C46" s="424"/>
      <c r="D46" s="425"/>
      <c r="E46" s="429"/>
      <c r="F46" s="426">
        <v>27</v>
      </c>
      <c r="G46" s="427"/>
      <c r="H46" s="428"/>
      <c r="I46" s="427"/>
      <c r="J46" s="428"/>
      <c r="K46" s="427"/>
      <c r="L46" s="428"/>
      <c r="M46" s="388"/>
      <c r="N46" s="449"/>
      <c r="O46" s="449"/>
      <c r="P46" s="433"/>
      <c r="Q46" s="450"/>
      <c r="R46" s="450"/>
      <c r="S46" s="450"/>
      <c r="T46" s="450"/>
    </row>
    <row r="47" ht="15.95" customHeight="1" spans="1:20">
      <c r="A47" s="422">
        <v>28</v>
      </c>
      <c r="B47" s="423" t="e">
        <f t="shared" si="1"/>
        <v>#DIV/0!</v>
      </c>
      <c r="C47" s="424"/>
      <c r="D47" s="425"/>
      <c r="E47" s="429"/>
      <c r="F47" s="426">
        <v>28</v>
      </c>
      <c r="G47" s="427"/>
      <c r="H47" s="428"/>
      <c r="I47" s="427"/>
      <c r="J47" s="428"/>
      <c r="K47" s="427"/>
      <c r="L47" s="428"/>
      <c r="M47" s="388"/>
      <c r="N47" s="449"/>
      <c r="O47" s="449"/>
      <c r="P47" s="433"/>
      <c r="Q47" s="450"/>
      <c r="R47" s="450"/>
      <c r="S47" s="450"/>
      <c r="T47" s="450"/>
    </row>
    <row r="48" ht="15.95" customHeight="1" spans="1:20">
      <c r="A48" s="422">
        <v>29</v>
      </c>
      <c r="B48" s="423" t="e">
        <f t="shared" si="1"/>
        <v>#DIV/0!</v>
      </c>
      <c r="C48" s="424"/>
      <c r="D48" s="425"/>
      <c r="E48" s="429"/>
      <c r="F48" s="426">
        <v>29</v>
      </c>
      <c r="G48" s="427"/>
      <c r="H48" s="428"/>
      <c r="I48" s="427"/>
      <c r="J48" s="428"/>
      <c r="K48" s="427"/>
      <c r="L48" s="428"/>
      <c r="M48" s="388"/>
      <c r="N48" s="449"/>
      <c r="O48" s="449"/>
      <c r="P48" s="433"/>
      <c r="Q48" s="450"/>
      <c r="R48" s="450"/>
      <c r="S48" s="450"/>
      <c r="T48" s="450"/>
    </row>
    <row r="49" ht="15.95" customHeight="1" spans="1:20">
      <c r="A49" s="422">
        <v>30</v>
      </c>
      <c r="B49" s="423" t="e">
        <f t="shared" si="1"/>
        <v>#DIV/0!</v>
      </c>
      <c r="C49" s="424"/>
      <c r="D49" s="425"/>
      <c r="E49" s="429"/>
      <c r="F49" s="426">
        <v>30</v>
      </c>
      <c r="G49" s="427"/>
      <c r="H49" s="428"/>
      <c r="I49" s="427"/>
      <c r="J49" s="428"/>
      <c r="K49" s="427"/>
      <c r="L49" s="428"/>
      <c r="M49" s="388"/>
      <c r="N49" s="449"/>
      <c r="O49" s="449"/>
      <c r="P49" s="433"/>
      <c r="Q49" s="450"/>
      <c r="R49" s="450"/>
      <c r="S49" s="450"/>
      <c r="T49" s="450"/>
    </row>
    <row r="50" ht="15.95" customHeight="1" spans="1:20">
      <c r="A50" s="422">
        <v>31</v>
      </c>
      <c r="B50" s="423" t="e">
        <f t="shared" si="1"/>
        <v>#DIV/0!</v>
      </c>
      <c r="C50" s="424"/>
      <c r="D50" s="425"/>
      <c r="E50" s="429"/>
      <c r="F50" s="426">
        <v>31</v>
      </c>
      <c r="G50" s="427"/>
      <c r="H50" s="428"/>
      <c r="I50" s="427"/>
      <c r="J50" s="428"/>
      <c r="K50" s="427"/>
      <c r="L50" s="428"/>
      <c r="M50" s="388"/>
      <c r="N50" s="449"/>
      <c r="O50" s="449"/>
      <c r="P50" s="433"/>
      <c r="Q50" s="450"/>
      <c r="R50" s="450"/>
      <c r="S50" s="450"/>
      <c r="T50" s="450"/>
    </row>
    <row r="51" ht="15.95" customHeight="1" spans="1:20">
      <c r="A51" s="422">
        <v>32</v>
      </c>
      <c r="B51" s="423" t="e">
        <f t="shared" si="1"/>
        <v>#DIV/0!</v>
      </c>
      <c r="C51" s="424"/>
      <c r="D51" s="425"/>
      <c r="E51" s="429"/>
      <c r="F51" s="426">
        <v>32</v>
      </c>
      <c r="G51" s="427"/>
      <c r="H51" s="428"/>
      <c r="I51" s="427"/>
      <c r="J51" s="428"/>
      <c r="K51" s="427"/>
      <c r="L51" s="428"/>
      <c r="M51" s="388"/>
      <c r="N51" s="449"/>
      <c r="O51" s="449"/>
      <c r="P51" s="433"/>
      <c r="Q51" s="450"/>
      <c r="R51" s="450"/>
      <c r="S51" s="450"/>
      <c r="T51" s="450"/>
    </row>
    <row r="52" ht="15.95" customHeight="1" spans="1:20">
      <c r="A52" s="422">
        <v>33</v>
      </c>
      <c r="B52" s="423" t="e">
        <f t="shared" si="1"/>
        <v>#DIV/0!</v>
      </c>
      <c r="C52" s="424"/>
      <c r="D52" s="425"/>
      <c r="E52" s="429"/>
      <c r="F52" s="426">
        <v>33</v>
      </c>
      <c r="G52" s="427"/>
      <c r="H52" s="428"/>
      <c r="I52" s="427"/>
      <c r="J52" s="428"/>
      <c r="K52" s="427"/>
      <c r="L52" s="428"/>
      <c r="M52" s="388"/>
      <c r="N52" s="449"/>
      <c r="O52" s="449"/>
      <c r="P52" s="433"/>
      <c r="Q52" s="450"/>
      <c r="R52" s="450"/>
      <c r="S52" s="450"/>
      <c r="T52" s="450"/>
    </row>
    <row r="53" ht="15.95" customHeight="1" spans="1:20">
      <c r="A53" s="422">
        <v>34</v>
      </c>
      <c r="B53" s="423" t="e">
        <f t="shared" si="1"/>
        <v>#DIV/0!</v>
      </c>
      <c r="C53" s="424"/>
      <c r="D53" s="425"/>
      <c r="E53" s="429"/>
      <c r="F53" s="426">
        <v>34</v>
      </c>
      <c r="G53" s="427"/>
      <c r="H53" s="428"/>
      <c r="I53" s="427"/>
      <c r="J53" s="428"/>
      <c r="K53" s="427"/>
      <c r="L53" s="428"/>
      <c r="M53" s="388"/>
      <c r="N53" s="449"/>
      <c r="O53" s="449"/>
      <c r="P53" s="433"/>
      <c r="Q53" s="450"/>
      <c r="R53" s="450"/>
      <c r="S53" s="450"/>
      <c r="T53" s="450"/>
    </row>
    <row r="54" ht="15.95" customHeight="1" spans="1:20">
      <c r="A54" s="422">
        <v>35</v>
      </c>
      <c r="B54" s="423" t="e">
        <f t="shared" si="1"/>
        <v>#DIV/0!</v>
      </c>
      <c r="C54" s="424"/>
      <c r="D54" s="425"/>
      <c r="E54" s="429"/>
      <c r="F54" s="426">
        <v>35</v>
      </c>
      <c r="G54" s="427"/>
      <c r="H54" s="428"/>
      <c r="I54" s="427"/>
      <c r="J54" s="428"/>
      <c r="K54" s="427"/>
      <c r="L54" s="428"/>
      <c r="M54" s="388"/>
      <c r="N54" s="449"/>
      <c r="O54" s="449"/>
      <c r="P54" s="433"/>
      <c r="Q54" s="450"/>
      <c r="R54" s="450"/>
      <c r="S54" s="450"/>
      <c r="T54" s="450"/>
    </row>
    <row r="55" ht="15.95" customHeight="1" spans="1:20">
      <c r="A55" s="422">
        <v>36</v>
      </c>
      <c r="B55" s="423" t="e">
        <f t="shared" si="1"/>
        <v>#DIV/0!</v>
      </c>
      <c r="C55" s="424"/>
      <c r="D55" s="425"/>
      <c r="E55" s="429"/>
      <c r="F55" s="426">
        <v>36</v>
      </c>
      <c r="G55" s="427"/>
      <c r="H55" s="428"/>
      <c r="I55" s="427"/>
      <c r="J55" s="428"/>
      <c r="K55" s="427"/>
      <c r="L55" s="428"/>
      <c r="M55" s="388"/>
      <c r="N55" s="449"/>
      <c r="O55" s="449"/>
      <c r="P55" s="433"/>
      <c r="Q55" s="450"/>
      <c r="R55" s="450"/>
      <c r="S55" s="450"/>
      <c r="T55" s="450"/>
    </row>
    <row r="56" ht="15.95" customHeight="1" spans="1:20">
      <c r="A56" s="422">
        <v>37</v>
      </c>
      <c r="B56" s="423" t="e">
        <f t="shared" si="1"/>
        <v>#DIV/0!</v>
      </c>
      <c r="C56" s="424"/>
      <c r="D56" s="425"/>
      <c r="E56" s="429"/>
      <c r="F56" s="426">
        <v>37</v>
      </c>
      <c r="G56" s="427"/>
      <c r="H56" s="428"/>
      <c r="I56" s="427"/>
      <c r="J56" s="428"/>
      <c r="K56" s="427"/>
      <c r="L56" s="428"/>
      <c r="M56" s="388"/>
      <c r="N56" s="449"/>
      <c r="O56" s="449"/>
      <c r="P56" s="433"/>
      <c r="Q56" s="450"/>
      <c r="R56" s="450"/>
      <c r="S56" s="450"/>
      <c r="T56" s="450"/>
    </row>
    <row r="57" ht="15.95" customHeight="1" spans="1:20">
      <c r="A57" s="422">
        <v>38</v>
      </c>
      <c r="B57" s="423" t="e">
        <f t="shared" si="1"/>
        <v>#DIV/0!</v>
      </c>
      <c r="C57" s="424"/>
      <c r="D57" s="425"/>
      <c r="E57" s="429"/>
      <c r="F57" s="426">
        <v>38</v>
      </c>
      <c r="G57" s="427"/>
      <c r="H57" s="428"/>
      <c r="I57" s="427"/>
      <c r="J57" s="428"/>
      <c r="K57" s="427"/>
      <c r="L57" s="428"/>
      <c r="M57" s="388"/>
      <c r="N57" s="449"/>
      <c r="O57" s="449"/>
      <c r="P57" s="433"/>
      <c r="Q57" s="450"/>
      <c r="R57" s="450"/>
      <c r="S57" s="450"/>
      <c r="T57" s="450"/>
    </row>
    <row r="58" ht="15.95" customHeight="1" spans="1:20">
      <c r="A58" s="422">
        <v>39</v>
      </c>
      <c r="B58" s="423" t="e">
        <f t="shared" si="1"/>
        <v>#DIV/0!</v>
      </c>
      <c r="C58" s="424"/>
      <c r="D58" s="425"/>
      <c r="E58" s="429"/>
      <c r="F58" s="426">
        <v>39</v>
      </c>
      <c r="G58" s="427"/>
      <c r="H58" s="428"/>
      <c r="I58" s="427"/>
      <c r="J58" s="428"/>
      <c r="K58" s="427"/>
      <c r="L58" s="428"/>
      <c r="M58" s="388"/>
      <c r="N58" s="449"/>
      <c r="O58" s="449"/>
      <c r="P58" s="433"/>
      <c r="Q58" s="450"/>
      <c r="R58" s="450"/>
      <c r="S58" s="450"/>
      <c r="T58" s="450"/>
    </row>
    <row r="59" ht="15.95" customHeight="1" spans="1:20">
      <c r="A59" s="422">
        <v>40</v>
      </c>
      <c r="B59" s="423" t="e">
        <f t="shared" si="1"/>
        <v>#DIV/0!</v>
      </c>
      <c r="C59" s="424"/>
      <c r="D59" s="425"/>
      <c r="E59" s="429"/>
      <c r="F59" s="426">
        <v>40</v>
      </c>
      <c r="G59" s="427"/>
      <c r="H59" s="428"/>
      <c r="I59" s="427"/>
      <c r="J59" s="428"/>
      <c r="K59" s="427"/>
      <c r="L59" s="428"/>
      <c r="M59" s="388"/>
      <c r="N59" s="449"/>
      <c r="O59" s="449"/>
      <c r="P59" s="433"/>
      <c r="Q59" s="450"/>
      <c r="R59" s="450"/>
      <c r="S59" s="450"/>
      <c r="T59" s="450"/>
    </row>
    <row r="60" ht="15.95" customHeight="1" spans="1:20">
      <c r="A60" s="422">
        <v>41</v>
      </c>
      <c r="B60" s="423" t="e">
        <f t="shared" si="1"/>
        <v>#DIV/0!</v>
      </c>
      <c r="C60" s="424"/>
      <c r="D60" s="425"/>
      <c r="E60" s="429"/>
      <c r="F60" s="426">
        <v>41</v>
      </c>
      <c r="G60" s="427"/>
      <c r="H60" s="428"/>
      <c r="I60" s="427"/>
      <c r="J60" s="428"/>
      <c r="K60" s="427"/>
      <c r="L60" s="428"/>
      <c r="M60" s="388"/>
      <c r="N60" s="449"/>
      <c r="O60" s="449"/>
      <c r="P60" s="433"/>
      <c r="Q60" s="450"/>
      <c r="R60" s="450"/>
      <c r="S60" s="450"/>
      <c r="T60" s="450"/>
    </row>
    <row r="61" ht="15.95" customHeight="1" spans="1:20">
      <c r="A61" s="422">
        <v>42</v>
      </c>
      <c r="B61" s="423" t="e">
        <f t="shared" si="1"/>
        <v>#DIV/0!</v>
      </c>
      <c r="C61" s="424"/>
      <c r="D61" s="425"/>
      <c r="E61" s="429"/>
      <c r="F61" s="426">
        <v>42</v>
      </c>
      <c r="G61" s="427"/>
      <c r="H61" s="428"/>
      <c r="I61" s="427"/>
      <c r="J61" s="428"/>
      <c r="K61" s="427"/>
      <c r="L61" s="428"/>
      <c r="M61" s="388"/>
      <c r="N61" s="449"/>
      <c r="O61" s="449"/>
      <c r="P61" s="433"/>
      <c r="Q61" s="450"/>
      <c r="R61" s="450"/>
      <c r="S61" s="450"/>
      <c r="T61" s="450"/>
    </row>
    <row r="62" ht="15.95" customHeight="1" spans="1:20">
      <c r="A62" s="422">
        <v>43</v>
      </c>
      <c r="B62" s="423" t="e">
        <f t="shared" si="1"/>
        <v>#DIV/0!</v>
      </c>
      <c r="C62" s="424"/>
      <c r="D62" s="425"/>
      <c r="E62" s="429"/>
      <c r="F62" s="426">
        <v>43</v>
      </c>
      <c r="G62" s="427"/>
      <c r="H62" s="428"/>
      <c r="I62" s="427"/>
      <c r="J62" s="428"/>
      <c r="K62" s="427"/>
      <c r="L62" s="428"/>
      <c r="M62" s="388"/>
      <c r="N62" s="449"/>
      <c r="O62" s="449"/>
      <c r="P62" s="433"/>
      <c r="Q62" s="450"/>
      <c r="R62" s="450"/>
      <c r="S62" s="450"/>
      <c r="T62" s="450"/>
    </row>
    <row r="63" ht="15.95" customHeight="1" spans="1:20">
      <c r="A63" s="422">
        <v>44</v>
      </c>
      <c r="B63" s="423" t="e">
        <f t="shared" si="1"/>
        <v>#DIV/0!</v>
      </c>
      <c r="C63" s="424"/>
      <c r="D63" s="425"/>
      <c r="E63" s="429"/>
      <c r="F63" s="426">
        <v>44</v>
      </c>
      <c r="G63" s="427"/>
      <c r="H63" s="428"/>
      <c r="I63" s="427"/>
      <c r="J63" s="428"/>
      <c r="K63" s="427"/>
      <c r="L63" s="428"/>
      <c r="M63" s="388"/>
      <c r="N63" s="449"/>
      <c r="O63" s="449"/>
      <c r="P63" s="433"/>
      <c r="Q63" s="450"/>
      <c r="R63" s="450"/>
      <c r="S63" s="450"/>
      <c r="T63" s="450"/>
    </row>
    <row r="64" ht="15.95" customHeight="1" spans="1:20">
      <c r="A64" s="422">
        <v>45</v>
      </c>
      <c r="B64" s="423" t="e">
        <f t="shared" si="1"/>
        <v>#DIV/0!</v>
      </c>
      <c r="C64" s="424"/>
      <c r="D64" s="425"/>
      <c r="E64" s="429"/>
      <c r="F64" s="426">
        <v>45</v>
      </c>
      <c r="G64" s="427"/>
      <c r="H64" s="428"/>
      <c r="I64" s="427"/>
      <c r="J64" s="428"/>
      <c r="K64" s="427"/>
      <c r="L64" s="428"/>
      <c r="M64" s="388"/>
      <c r="N64" s="449"/>
      <c r="O64" s="449"/>
      <c r="P64" s="433"/>
      <c r="Q64" s="450"/>
      <c r="R64" s="450"/>
      <c r="S64" s="450"/>
      <c r="T64" s="450"/>
    </row>
    <row r="65" ht="15.95" customHeight="1" spans="1:20">
      <c r="A65" s="422">
        <v>46</v>
      </c>
      <c r="B65" s="423" t="e">
        <f t="shared" si="1"/>
        <v>#DIV/0!</v>
      </c>
      <c r="C65" s="424"/>
      <c r="D65" s="425"/>
      <c r="E65" s="429"/>
      <c r="F65" s="426">
        <v>46</v>
      </c>
      <c r="G65" s="427"/>
      <c r="H65" s="428"/>
      <c r="I65" s="427"/>
      <c r="J65" s="428"/>
      <c r="K65" s="427"/>
      <c r="L65" s="428"/>
      <c r="M65" s="388"/>
      <c r="N65" s="449"/>
      <c r="O65" s="449"/>
      <c r="P65" s="433"/>
      <c r="Q65" s="450"/>
      <c r="R65" s="450"/>
      <c r="S65" s="450"/>
      <c r="T65" s="450"/>
    </row>
    <row r="66" ht="15.95" customHeight="1" spans="1:20">
      <c r="A66" s="422">
        <v>47</v>
      </c>
      <c r="B66" s="423" t="e">
        <f t="shared" si="1"/>
        <v>#DIV/0!</v>
      </c>
      <c r="C66" s="424"/>
      <c r="D66" s="425"/>
      <c r="E66" s="429"/>
      <c r="F66" s="426">
        <v>47</v>
      </c>
      <c r="G66" s="427"/>
      <c r="H66" s="428"/>
      <c r="I66" s="427"/>
      <c r="J66" s="428"/>
      <c r="K66" s="427"/>
      <c r="L66" s="428"/>
      <c r="M66" s="388"/>
      <c r="N66" s="449"/>
      <c r="O66" s="449"/>
      <c r="P66" s="433"/>
      <c r="Q66" s="450"/>
      <c r="R66" s="450"/>
      <c r="S66" s="450"/>
      <c r="T66" s="450"/>
    </row>
    <row r="67" ht="15.95" customHeight="1" spans="1:20">
      <c r="A67" s="422">
        <v>48</v>
      </c>
      <c r="B67" s="423" t="e">
        <f t="shared" si="1"/>
        <v>#DIV/0!</v>
      </c>
      <c r="C67" s="424"/>
      <c r="D67" s="425"/>
      <c r="E67" s="429"/>
      <c r="F67" s="426">
        <v>48</v>
      </c>
      <c r="G67" s="427"/>
      <c r="H67" s="428"/>
      <c r="I67" s="427"/>
      <c r="J67" s="428"/>
      <c r="K67" s="427"/>
      <c r="L67" s="428"/>
      <c r="M67" s="388"/>
      <c r="N67" s="449"/>
      <c r="O67" s="449"/>
      <c r="P67" s="433"/>
      <c r="Q67" s="450"/>
      <c r="R67" s="450"/>
      <c r="S67" s="450"/>
      <c r="T67" s="450"/>
    </row>
    <row r="68" ht="15.95" customHeight="1" spans="1:20">
      <c r="A68" s="422">
        <v>49</v>
      </c>
      <c r="B68" s="423" t="e">
        <f t="shared" si="1"/>
        <v>#DIV/0!</v>
      </c>
      <c r="C68" s="424"/>
      <c r="D68" s="425"/>
      <c r="E68" s="429"/>
      <c r="F68" s="426">
        <v>49</v>
      </c>
      <c r="G68" s="427"/>
      <c r="H68" s="428"/>
      <c r="I68" s="427"/>
      <c r="J68" s="428"/>
      <c r="K68" s="427"/>
      <c r="L68" s="428"/>
      <c r="M68" s="388"/>
      <c r="N68" s="449"/>
      <c r="O68" s="449"/>
      <c r="P68" s="433"/>
      <c r="Q68" s="450"/>
      <c r="R68" s="450"/>
      <c r="S68" s="450"/>
      <c r="T68" s="450"/>
    </row>
    <row r="69" ht="15.95" customHeight="1" spans="1:20">
      <c r="A69" s="422">
        <v>50</v>
      </c>
      <c r="B69" s="423" t="e">
        <f t="shared" si="1"/>
        <v>#DIV/0!</v>
      </c>
      <c r="C69" s="424"/>
      <c r="D69" s="425"/>
      <c r="E69" s="429"/>
      <c r="F69" s="426">
        <v>50</v>
      </c>
      <c r="G69" s="427"/>
      <c r="H69" s="428"/>
      <c r="I69" s="427"/>
      <c r="J69" s="428"/>
      <c r="K69" s="427"/>
      <c r="L69" s="428"/>
      <c r="M69" s="388"/>
      <c r="N69" s="449"/>
      <c r="O69" s="449"/>
      <c r="P69" s="433"/>
      <c r="Q69" s="450"/>
      <c r="R69" s="450"/>
      <c r="S69" s="450"/>
      <c r="T69" s="450"/>
    </row>
    <row r="70" ht="15.95" customHeight="1" spans="1:20">
      <c r="A70" s="422">
        <v>51</v>
      </c>
      <c r="B70" s="423" t="e">
        <f t="shared" si="1"/>
        <v>#DIV/0!</v>
      </c>
      <c r="C70" s="424"/>
      <c r="D70" s="425"/>
      <c r="E70" s="429"/>
      <c r="F70" s="426">
        <v>51</v>
      </c>
      <c r="G70" s="427"/>
      <c r="H70" s="428"/>
      <c r="I70" s="427"/>
      <c r="J70" s="428"/>
      <c r="K70" s="427"/>
      <c r="L70" s="428"/>
      <c r="M70" s="388"/>
      <c r="N70" s="449"/>
      <c r="O70" s="449"/>
      <c r="P70" s="433"/>
      <c r="Q70" s="450"/>
      <c r="R70" s="450"/>
      <c r="S70" s="450"/>
      <c r="T70" s="450"/>
    </row>
    <row r="71" ht="15.95" customHeight="1" spans="1:20">
      <c r="A71" s="422">
        <v>52</v>
      </c>
      <c r="B71" s="423" t="e">
        <f t="shared" si="1"/>
        <v>#DIV/0!</v>
      </c>
      <c r="C71" s="424"/>
      <c r="D71" s="425"/>
      <c r="E71" s="429"/>
      <c r="F71" s="426">
        <v>52</v>
      </c>
      <c r="G71" s="427"/>
      <c r="H71" s="428"/>
      <c r="I71" s="427"/>
      <c r="J71" s="428"/>
      <c r="K71" s="427"/>
      <c r="L71" s="428"/>
      <c r="M71" s="388"/>
      <c r="N71" s="449"/>
      <c r="O71" s="449"/>
      <c r="P71" s="433"/>
      <c r="Q71" s="450"/>
      <c r="R71" s="450"/>
      <c r="S71" s="450"/>
      <c r="T71" s="450"/>
    </row>
    <row r="72" ht="15.95" customHeight="1" spans="1:20">
      <c r="A72" s="422">
        <v>53</v>
      </c>
      <c r="B72" s="423" t="e">
        <f t="shared" si="1"/>
        <v>#DIV/0!</v>
      </c>
      <c r="C72" s="424"/>
      <c r="D72" s="425"/>
      <c r="E72" s="429"/>
      <c r="F72" s="426">
        <v>53</v>
      </c>
      <c r="G72" s="427"/>
      <c r="H72" s="428"/>
      <c r="I72" s="427"/>
      <c r="J72" s="428"/>
      <c r="K72" s="427"/>
      <c r="L72" s="428"/>
      <c r="M72" s="388"/>
      <c r="N72" s="449"/>
      <c r="O72" s="449"/>
      <c r="P72" s="433"/>
      <c r="Q72" s="450"/>
      <c r="R72" s="450"/>
      <c r="S72" s="450"/>
      <c r="T72" s="450"/>
    </row>
    <row r="73" ht="15.95" customHeight="1" spans="1:20">
      <c r="A73" s="422">
        <v>54</v>
      </c>
      <c r="B73" s="423" t="e">
        <f t="shared" si="1"/>
        <v>#DIV/0!</v>
      </c>
      <c r="C73" s="424"/>
      <c r="D73" s="425"/>
      <c r="E73" s="429"/>
      <c r="F73" s="426">
        <v>54</v>
      </c>
      <c r="G73" s="427"/>
      <c r="H73" s="428"/>
      <c r="I73" s="427"/>
      <c r="J73" s="428"/>
      <c r="K73" s="427"/>
      <c r="L73" s="428"/>
      <c r="M73" s="388"/>
      <c r="N73" s="449"/>
      <c r="O73" s="449"/>
      <c r="P73" s="433"/>
      <c r="Q73" s="450"/>
      <c r="R73" s="450"/>
      <c r="S73" s="450"/>
      <c r="T73" s="450"/>
    </row>
    <row r="74" ht="15.95" customHeight="1" spans="1:20">
      <c r="A74" s="422">
        <v>55</v>
      </c>
      <c r="B74" s="423" t="e">
        <f t="shared" si="1"/>
        <v>#DIV/0!</v>
      </c>
      <c r="C74" s="424"/>
      <c r="D74" s="425"/>
      <c r="E74" s="429"/>
      <c r="F74" s="426">
        <v>55</v>
      </c>
      <c r="G74" s="427"/>
      <c r="H74" s="428"/>
      <c r="I74" s="427"/>
      <c r="J74" s="428"/>
      <c r="K74" s="427"/>
      <c r="L74" s="428"/>
      <c r="M74" s="388"/>
      <c r="N74" s="449"/>
      <c r="O74" s="449"/>
      <c r="P74" s="433"/>
      <c r="Q74" s="450"/>
      <c r="R74" s="450"/>
      <c r="S74" s="450"/>
      <c r="T74" s="450"/>
    </row>
    <row r="75" ht="15.95" customHeight="1" spans="1:20">
      <c r="A75" s="422">
        <v>56</v>
      </c>
      <c r="B75" s="423" t="e">
        <f t="shared" si="1"/>
        <v>#DIV/0!</v>
      </c>
      <c r="C75" s="424"/>
      <c r="D75" s="425"/>
      <c r="E75" s="429"/>
      <c r="F75" s="426">
        <v>56</v>
      </c>
      <c r="G75" s="427"/>
      <c r="H75" s="428"/>
      <c r="I75" s="427"/>
      <c r="J75" s="428"/>
      <c r="K75" s="427"/>
      <c r="L75" s="428"/>
      <c r="M75" s="388"/>
      <c r="N75" s="449"/>
      <c r="O75" s="449"/>
      <c r="P75" s="433"/>
      <c r="Q75" s="450"/>
      <c r="R75" s="450"/>
      <c r="S75" s="450"/>
      <c r="T75" s="450"/>
    </row>
    <row r="76" ht="15.95" customHeight="1" spans="1:20">
      <c r="A76" s="422">
        <v>57</v>
      </c>
      <c r="B76" s="423" t="e">
        <f t="shared" si="1"/>
        <v>#DIV/0!</v>
      </c>
      <c r="C76" s="424"/>
      <c r="D76" s="425"/>
      <c r="E76" s="429"/>
      <c r="F76" s="426">
        <v>57</v>
      </c>
      <c r="G76" s="427"/>
      <c r="H76" s="428"/>
      <c r="I76" s="427"/>
      <c r="J76" s="428"/>
      <c r="K76" s="427"/>
      <c r="L76" s="428"/>
      <c r="M76" s="388"/>
      <c r="N76" s="449"/>
      <c r="O76" s="449"/>
      <c r="P76" s="433"/>
      <c r="Q76" s="450"/>
      <c r="R76" s="450"/>
      <c r="S76" s="450"/>
      <c r="T76" s="450"/>
    </row>
    <row r="77" ht="15.95" customHeight="1" spans="1:20">
      <c r="A77" s="422">
        <v>58</v>
      </c>
      <c r="B77" s="423" t="e">
        <f t="shared" si="1"/>
        <v>#DIV/0!</v>
      </c>
      <c r="C77" s="424"/>
      <c r="D77" s="425"/>
      <c r="E77" s="429"/>
      <c r="F77" s="426">
        <v>58</v>
      </c>
      <c r="G77" s="427"/>
      <c r="H77" s="428"/>
      <c r="I77" s="427"/>
      <c r="J77" s="428"/>
      <c r="K77" s="427"/>
      <c r="L77" s="428"/>
      <c r="M77" s="388"/>
      <c r="N77" s="449"/>
      <c r="O77" s="449"/>
      <c r="P77" s="433"/>
      <c r="Q77" s="450"/>
      <c r="R77" s="450"/>
      <c r="S77" s="450"/>
      <c r="T77" s="450"/>
    </row>
    <row r="78" ht="15.95" customHeight="1" spans="1:20">
      <c r="A78" s="422">
        <v>59</v>
      </c>
      <c r="B78" s="423" t="e">
        <f t="shared" si="1"/>
        <v>#DIV/0!</v>
      </c>
      <c r="C78" s="424"/>
      <c r="D78" s="425"/>
      <c r="E78" s="429"/>
      <c r="F78" s="426">
        <v>59</v>
      </c>
      <c r="G78" s="427"/>
      <c r="H78" s="428"/>
      <c r="I78" s="427"/>
      <c r="J78" s="428"/>
      <c r="K78" s="427"/>
      <c r="L78" s="428"/>
      <c r="M78" s="388"/>
      <c r="N78" s="449"/>
      <c r="O78" s="449"/>
      <c r="P78" s="433"/>
      <c r="Q78" s="450"/>
      <c r="R78" s="450"/>
      <c r="S78" s="450"/>
      <c r="T78" s="450"/>
    </row>
    <row r="79" ht="15.95" customHeight="1" spans="1:20">
      <c r="A79" s="422">
        <v>60</v>
      </c>
      <c r="B79" s="423" t="e">
        <f t="shared" si="1"/>
        <v>#DIV/0!</v>
      </c>
      <c r="C79" s="424"/>
      <c r="D79" s="425"/>
      <c r="E79" s="429"/>
      <c r="F79" s="426">
        <v>60</v>
      </c>
      <c r="G79" s="427"/>
      <c r="H79" s="428"/>
      <c r="I79" s="427"/>
      <c r="J79" s="428"/>
      <c r="K79" s="427"/>
      <c r="L79" s="428"/>
      <c r="M79" s="388"/>
      <c r="N79" s="449"/>
      <c r="O79" s="449"/>
      <c r="P79" s="433"/>
      <c r="Q79" s="450"/>
      <c r="R79" s="450"/>
      <c r="S79" s="450"/>
      <c r="T79" s="450"/>
    </row>
    <row r="80" ht="15.95" customHeight="1" spans="1:20">
      <c r="A80" s="422">
        <v>61</v>
      </c>
      <c r="B80" s="423" t="e">
        <f t="shared" si="1"/>
        <v>#DIV/0!</v>
      </c>
      <c r="C80" s="424"/>
      <c r="D80" s="425"/>
      <c r="E80" s="429"/>
      <c r="F80" s="426">
        <v>61</v>
      </c>
      <c r="G80" s="427"/>
      <c r="H80" s="428"/>
      <c r="I80" s="427"/>
      <c r="J80" s="428"/>
      <c r="K80" s="427"/>
      <c r="L80" s="428"/>
      <c r="M80" s="388"/>
      <c r="N80" s="449"/>
      <c r="O80" s="449"/>
      <c r="P80" s="433"/>
      <c r="Q80" s="450"/>
      <c r="R80" s="450"/>
      <c r="S80" s="450"/>
      <c r="T80" s="450"/>
    </row>
    <row r="81" ht="15.95" customHeight="1" spans="1:20">
      <c r="A81" s="422">
        <v>62</v>
      </c>
      <c r="B81" s="423" t="e">
        <f t="shared" si="1"/>
        <v>#DIV/0!</v>
      </c>
      <c r="C81" s="424"/>
      <c r="D81" s="425"/>
      <c r="E81" s="429"/>
      <c r="F81" s="426">
        <v>62</v>
      </c>
      <c r="G81" s="427"/>
      <c r="H81" s="428"/>
      <c r="I81" s="427"/>
      <c r="J81" s="428"/>
      <c r="K81" s="427"/>
      <c r="L81" s="428"/>
      <c r="M81" s="388"/>
      <c r="N81" s="449"/>
      <c r="O81" s="449"/>
      <c r="P81" s="433"/>
      <c r="Q81" s="450"/>
      <c r="R81" s="450"/>
      <c r="S81" s="450"/>
      <c r="T81" s="450"/>
    </row>
    <row r="82" ht="15.95" customHeight="1" spans="1:20">
      <c r="A82" s="422">
        <v>63</v>
      </c>
      <c r="B82" s="423" t="e">
        <f t="shared" si="1"/>
        <v>#DIV/0!</v>
      </c>
      <c r="C82" s="424"/>
      <c r="D82" s="425"/>
      <c r="E82" s="429"/>
      <c r="F82" s="426">
        <v>63</v>
      </c>
      <c r="G82" s="427"/>
      <c r="H82" s="428"/>
      <c r="I82" s="427"/>
      <c r="J82" s="428"/>
      <c r="K82" s="427"/>
      <c r="L82" s="428"/>
      <c r="M82" s="388"/>
      <c r="N82" s="449"/>
      <c r="O82" s="449"/>
      <c r="P82" s="433"/>
      <c r="Q82" s="450"/>
      <c r="R82" s="450"/>
      <c r="S82" s="450"/>
      <c r="T82" s="450"/>
    </row>
    <row r="83" ht="15.95" customHeight="1" spans="1:20">
      <c r="A83" s="422">
        <v>64</v>
      </c>
      <c r="B83" s="423" t="e">
        <f t="shared" si="1"/>
        <v>#DIV/0!</v>
      </c>
      <c r="C83" s="424"/>
      <c r="D83" s="425"/>
      <c r="E83" s="429"/>
      <c r="F83" s="426">
        <v>64</v>
      </c>
      <c r="G83" s="427"/>
      <c r="H83" s="428"/>
      <c r="I83" s="427"/>
      <c r="J83" s="428"/>
      <c r="K83" s="427"/>
      <c r="L83" s="428"/>
      <c r="M83" s="388"/>
      <c r="N83" s="449"/>
      <c r="O83" s="449"/>
      <c r="P83" s="433"/>
      <c r="Q83" s="450"/>
      <c r="R83" s="450"/>
      <c r="S83" s="450"/>
      <c r="T83" s="450"/>
    </row>
    <row r="84" ht="15.95" customHeight="1" spans="1:20">
      <c r="A84" s="422">
        <v>65</v>
      </c>
      <c r="B84" s="423" t="e">
        <f t="shared" si="1"/>
        <v>#DIV/0!</v>
      </c>
      <c r="C84" s="424"/>
      <c r="D84" s="425"/>
      <c r="E84" s="429"/>
      <c r="F84" s="426">
        <v>65</v>
      </c>
      <c r="G84" s="427"/>
      <c r="H84" s="428"/>
      <c r="I84" s="427"/>
      <c r="J84" s="428"/>
      <c r="K84" s="427"/>
      <c r="L84" s="428"/>
      <c r="M84" s="388"/>
      <c r="N84" s="449"/>
      <c r="O84" s="449"/>
      <c r="P84" s="433"/>
      <c r="Q84" s="450"/>
      <c r="R84" s="450"/>
      <c r="S84" s="450"/>
      <c r="T84" s="450"/>
    </row>
    <row r="85" ht="15.95" customHeight="1" spans="1:20">
      <c r="A85" s="422">
        <v>66</v>
      </c>
      <c r="B85" s="423" t="e">
        <f t="shared" ref="B85:B147" si="2">AVERAGE(G85:L85)</f>
        <v>#DIV/0!</v>
      </c>
      <c r="C85" s="424"/>
      <c r="D85" s="425"/>
      <c r="E85" s="429"/>
      <c r="F85" s="426">
        <v>66</v>
      </c>
      <c r="G85" s="427"/>
      <c r="H85" s="428"/>
      <c r="I85" s="427"/>
      <c r="J85" s="428"/>
      <c r="K85" s="427"/>
      <c r="L85" s="428"/>
      <c r="M85" s="388"/>
      <c r="N85" s="449"/>
      <c r="O85" s="449"/>
      <c r="P85" s="433"/>
      <c r="Q85" s="450"/>
      <c r="R85" s="450"/>
      <c r="S85" s="450"/>
      <c r="T85" s="450"/>
    </row>
    <row r="86" ht="15.95" customHeight="1" spans="1:20">
      <c r="A86" s="422">
        <v>67</v>
      </c>
      <c r="B86" s="423" t="e">
        <f t="shared" si="2"/>
        <v>#DIV/0!</v>
      </c>
      <c r="C86" s="424"/>
      <c r="D86" s="425"/>
      <c r="E86" s="429"/>
      <c r="F86" s="426">
        <v>67</v>
      </c>
      <c r="G86" s="427"/>
      <c r="H86" s="428"/>
      <c r="I86" s="427"/>
      <c r="J86" s="428"/>
      <c r="K86" s="427"/>
      <c r="L86" s="428"/>
      <c r="M86" s="388"/>
      <c r="N86" s="449"/>
      <c r="O86" s="449"/>
      <c r="P86" s="433"/>
      <c r="Q86" s="450"/>
      <c r="R86" s="450"/>
      <c r="S86" s="450"/>
      <c r="T86" s="450"/>
    </row>
    <row r="87" ht="15.95" customHeight="1" spans="1:20">
      <c r="A87" s="422">
        <v>68</v>
      </c>
      <c r="B87" s="423" t="e">
        <f t="shared" si="2"/>
        <v>#DIV/0!</v>
      </c>
      <c r="C87" s="424"/>
      <c r="D87" s="425"/>
      <c r="E87" s="429"/>
      <c r="F87" s="426">
        <v>68</v>
      </c>
      <c r="G87" s="427"/>
      <c r="H87" s="428"/>
      <c r="I87" s="427"/>
      <c r="J87" s="428"/>
      <c r="K87" s="427"/>
      <c r="L87" s="428"/>
      <c r="M87" s="388"/>
      <c r="N87" s="449"/>
      <c r="O87" s="449"/>
      <c r="P87" s="433"/>
      <c r="Q87" s="450"/>
      <c r="R87" s="450"/>
      <c r="S87" s="450"/>
      <c r="T87" s="450"/>
    </row>
    <row r="88" ht="15.95" customHeight="1" spans="1:20">
      <c r="A88" s="422">
        <v>69</v>
      </c>
      <c r="B88" s="423" t="e">
        <f t="shared" si="2"/>
        <v>#DIV/0!</v>
      </c>
      <c r="C88" s="424"/>
      <c r="D88" s="425"/>
      <c r="E88" s="429"/>
      <c r="F88" s="426">
        <v>69</v>
      </c>
      <c r="G88" s="427"/>
      <c r="H88" s="428"/>
      <c r="I88" s="427"/>
      <c r="J88" s="428"/>
      <c r="K88" s="427"/>
      <c r="L88" s="428"/>
      <c r="M88" s="388"/>
      <c r="N88" s="449"/>
      <c r="O88" s="449"/>
      <c r="P88" s="433"/>
      <c r="Q88" s="450"/>
      <c r="R88" s="450"/>
      <c r="S88" s="450"/>
      <c r="T88" s="450"/>
    </row>
    <row r="89" ht="15.95" customHeight="1" spans="1:20">
      <c r="A89" s="422">
        <v>70</v>
      </c>
      <c r="B89" s="423" t="e">
        <f t="shared" si="2"/>
        <v>#DIV/0!</v>
      </c>
      <c r="C89" s="424"/>
      <c r="D89" s="425"/>
      <c r="E89" s="429"/>
      <c r="F89" s="426">
        <v>70</v>
      </c>
      <c r="G89" s="427"/>
      <c r="H89" s="428"/>
      <c r="I89" s="427"/>
      <c r="J89" s="428"/>
      <c r="K89" s="427"/>
      <c r="L89" s="428"/>
      <c r="M89" s="388"/>
      <c r="N89" s="449"/>
      <c r="O89" s="449"/>
      <c r="P89" s="433"/>
      <c r="Q89" s="450"/>
      <c r="R89" s="450"/>
      <c r="S89" s="450"/>
      <c r="T89" s="450"/>
    </row>
    <row r="90" ht="15.95" customHeight="1" spans="1:20">
      <c r="A90" s="422">
        <v>71</v>
      </c>
      <c r="B90" s="423" t="e">
        <f t="shared" si="2"/>
        <v>#DIV/0!</v>
      </c>
      <c r="C90" s="424"/>
      <c r="D90" s="425"/>
      <c r="E90" s="429"/>
      <c r="F90" s="426">
        <v>71</v>
      </c>
      <c r="G90" s="427"/>
      <c r="H90" s="428"/>
      <c r="I90" s="427"/>
      <c r="J90" s="428"/>
      <c r="K90" s="427"/>
      <c r="L90" s="428"/>
      <c r="M90" s="388"/>
      <c r="N90" s="449"/>
      <c r="O90" s="449"/>
      <c r="P90" s="433"/>
      <c r="Q90" s="450"/>
      <c r="R90" s="450"/>
      <c r="S90" s="450"/>
      <c r="T90" s="450"/>
    </row>
    <row r="91" ht="15.95" customHeight="1" spans="1:20">
      <c r="A91" s="422">
        <v>72</v>
      </c>
      <c r="B91" s="423" t="e">
        <f t="shared" si="2"/>
        <v>#DIV/0!</v>
      </c>
      <c r="C91" s="424"/>
      <c r="D91" s="425"/>
      <c r="E91" s="429"/>
      <c r="F91" s="426">
        <v>72</v>
      </c>
      <c r="G91" s="427"/>
      <c r="H91" s="428"/>
      <c r="I91" s="427"/>
      <c r="J91" s="428"/>
      <c r="K91" s="427"/>
      <c r="L91" s="428"/>
      <c r="M91" s="388"/>
      <c r="N91" s="449"/>
      <c r="O91" s="449"/>
      <c r="P91" s="433"/>
      <c r="Q91" s="450"/>
      <c r="R91" s="450"/>
      <c r="S91" s="450"/>
      <c r="T91" s="450"/>
    </row>
    <row r="92" ht="15.95" customHeight="1" spans="1:20">
      <c r="A92" s="422">
        <v>73</v>
      </c>
      <c r="B92" s="423" t="e">
        <f t="shared" si="2"/>
        <v>#DIV/0!</v>
      </c>
      <c r="C92" s="424"/>
      <c r="D92" s="425"/>
      <c r="E92" s="429"/>
      <c r="F92" s="426">
        <v>73</v>
      </c>
      <c r="G92" s="427"/>
      <c r="H92" s="428"/>
      <c r="I92" s="427"/>
      <c r="J92" s="428"/>
      <c r="K92" s="427"/>
      <c r="L92" s="428"/>
      <c r="M92" s="388"/>
      <c r="N92" s="449"/>
      <c r="O92" s="449"/>
      <c r="P92" s="433"/>
      <c r="Q92" s="450"/>
      <c r="R92" s="450"/>
      <c r="S92" s="450"/>
      <c r="T92" s="450"/>
    </row>
    <row r="93" ht="15.95" customHeight="1" spans="1:20">
      <c r="A93" s="422">
        <v>74</v>
      </c>
      <c r="B93" s="423" t="e">
        <f t="shared" si="2"/>
        <v>#DIV/0!</v>
      </c>
      <c r="C93" s="424"/>
      <c r="D93" s="425"/>
      <c r="E93" s="429"/>
      <c r="F93" s="426">
        <v>74</v>
      </c>
      <c r="G93" s="427"/>
      <c r="H93" s="428"/>
      <c r="I93" s="427"/>
      <c r="J93" s="428"/>
      <c r="K93" s="427"/>
      <c r="L93" s="428"/>
      <c r="M93" s="388"/>
      <c r="N93" s="449"/>
      <c r="O93" s="449"/>
      <c r="P93" s="433"/>
      <c r="Q93" s="450"/>
      <c r="R93" s="450"/>
      <c r="S93" s="450"/>
      <c r="T93" s="450"/>
    </row>
    <row r="94" ht="15.95" customHeight="1" spans="1:20">
      <c r="A94" s="422">
        <v>75</v>
      </c>
      <c r="B94" s="423" t="e">
        <f t="shared" si="2"/>
        <v>#DIV/0!</v>
      </c>
      <c r="C94" s="424"/>
      <c r="D94" s="425"/>
      <c r="E94" s="429"/>
      <c r="F94" s="426">
        <v>75</v>
      </c>
      <c r="G94" s="427"/>
      <c r="H94" s="428"/>
      <c r="I94" s="427"/>
      <c r="J94" s="428"/>
      <c r="K94" s="427"/>
      <c r="L94" s="428"/>
      <c r="M94" s="388"/>
      <c r="N94" s="449"/>
      <c r="O94" s="449"/>
      <c r="P94" s="433"/>
      <c r="Q94" s="450"/>
      <c r="R94" s="450"/>
      <c r="S94" s="450"/>
      <c r="T94" s="450"/>
    </row>
    <row r="95" ht="15.95" customHeight="1" spans="1:20">
      <c r="A95" s="422">
        <v>76</v>
      </c>
      <c r="B95" s="423" t="e">
        <f t="shared" si="2"/>
        <v>#DIV/0!</v>
      </c>
      <c r="C95" s="424"/>
      <c r="D95" s="425"/>
      <c r="E95" s="429"/>
      <c r="F95" s="426">
        <v>76</v>
      </c>
      <c r="G95" s="427"/>
      <c r="H95" s="428"/>
      <c r="I95" s="427"/>
      <c r="J95" s="428"/>
      <c r="K95" s="427"/>
      <c r="L95" s="428"/>
      <c r="M95" s="388"/>
      <c r="N95" s="449"/>
      <c r="O95" s="449"/>
      <c r="P95" s="433"/>
      <c r="Q95" s="450"/>
      <c r="R95" s="450"/>
      <c r="S95" s="450"/>
      <c r="T95" s="450"/>
    </row>
    <row r="96" ht="15.95" customHeight="1" spans="1:20">
      <c r="A96" s="422">
        <v>77</v>
      </c>
      <c r="B96" s="423" t="e">
        <f t="shared" si="2"/>
        <v>#DIV/0!</v>
      </c>
      <c r="C96" s="424"/>
      <c r="D96" s="425"/>
      <c r="E96" s="429"/>
      <c r="F96" s="426">
        <v>77</v>
      </c>
      <c r="G96" s="427"/>
      <c r="H96" s="428"/>
      <c r="I96" s="427"/>
      <c r="J96" s="428"/>
      <c r="K96" s="427"/>
      <c r="L96" s="428"/>
      <c r="M96" s="388"/>
      <c r="N96" s="449"/>
      <c r="O96" s="449"/>
      <c r="P96" s="433"/>
      <c r="Q96" s="450"/>
      <c r="R96" s="450"/>
      <c r="S96" s="450"/>
      <c r="T96" s="450"/>
    </row>
    <row r="97" ht="15.95" customHeight="1" spans="1:20">
      <c r="A97" s="422">
        <v>78</v>
      </c>
      <c r="B97" s="423" t="e">
        <f t="shared" si="2"/>
        <v>#DIV/0!</v>
      </c>
      <c r="C97" s="424"/>
      <c r="D97" s="425"/>
      <c r="E97" s="429"/>
      <c r="F97" s="426">
        <v>78</v>
      </c>
      <c r="G97" s="427"/>
      <c r="H97" s="428"/>
      <c r="I97" s="427"/>
      <c r="J97" s="428"/>
      <c r="K97" s="427"/>
      <c r="L97" s="428"/>
      <c r="M97" s="388"/>
      <c r="N97" s="449"/>
      <c r="O97" s="449"/>
      <c r="P97" s="433"/>
      <c r="Q97" s="450"/>
      <c r="R97" s="450"/>
      <c r="S97" s="450"/>
      <c r="T97" s="450"/>
    </row>
    <row r="98" ht="15.95" customHeight="1" spans="1:20">
      <c r="A98" s="422">
        <v>79</v>
      </c>
      <c r="B98" s="423" t="e">
        <f t="shared" si="2"/>
        <v>#DIV/0!</v>
      </c>
      <c r="C98" s="424"/>
      <c r="D98" s="425"/>
      <c r="E98" s="429"/>
      <c r="F98" s="426">
        <v>79</v>
      </c>
      <c r="G98" s="427"/>
      <c r="H98" s="428"/>
      <c r="I98" s="427"/>
      <c r="J98" s="428"/>
      <c r="K98" s="427"/>
      <c r="L98" s="428"/>
      <c r="M98" s="388"/>
      <c r="N98" s="449"/>
      <c r="O98" s="449"/>
      <c r="P98" s="433"/>
      <c r="Q98" s="450"/>
      <c r="R98" s="450"/>
      <c r="S98" s="450"/>
      <c r="T98" s="450"/>
    </row>
    <row r="99" ht="15.95" customHeight="1" spans="1:20">
      <c r="A99" s="422">
        <v>80</v>
      </c>
      <c r="B99" s="423" t="e">
        <f t="shared" si="2"/>
        <v>#DIV/0!</v>
      </c>
      <c r="C99" s="424"/>
      <c r="D99" s="425"/>
      <c r="E99" s="429"/>
      <c r="F99" s="426">
        <v>80</v>
      </c>
      <c r="G99" s="427"/>
      <c r="H99" s="428"/>
      <c r="I99" s="427"/>
      <c r="J99" s="428"/>
      <c r="K99" s="427"/>
      <c r="L99" s="428"/>
      <c r="M99" s="388"/>
      <c r="N99" s="449"/>
      <c r="O99" s="449"/>
      <c r="P99" s="433"/>
      <c r="Q99" s="450"/>
      <c r="R99" s="450"/>
      <c r="S99" s="450"/>
      <c r="T99" s="450"/>
    </row>
    <row r="100" ht="15.95" customHeight="1" spans="1:20">
      <c r="A100" s="422">
        <v>81</v>
      </c>
      <c r="B100" s="423" t="e">
        <f t="shared" si="2"/>
        <v>#DIV/0!</v>
      </c>
      <c r="C100" s="424"/>
      <c r="D100" s="425"/>
      <c r="E100" s="429"/>
      <c r="F100" s="426">
        <v>81</v>
      </c>
      <c r="G100" s="427"/>
      <c r="H100" s="428"/>
      <c r="I100" s="427"/>
      <c r="J100" s="428"/>
      <c r="K100" s="427"/>
      <c r="L100" s="428"/>
      <c r="M100" s="388"/>
      <c r="N100" s="449"/>
      <c r="O100" s="449"/>
      <c r="P100" s="433"/>
      <c r="Q100" s="450"/>
      <c r="R100" s="450"/>
      <c r="S100" s="450"/>
      <c r="T100" s="450"/>
    </row>
    <row r="101" ht="15.95" customHeight="1" spans="1:20">
      <c r="A101" s="422">
        <v>82</v>
      </c>
      <c r="B101" s="423" t="e">
        <f t="shared" si="2"/>
        <v>#DIV/0!</v>
      </c>
      <c r="C101" s="424"/>
      <c r="D101" s="425"/>
      <c r="E101" s="429"/>
      <c r="F101" s="426">
        <v>82</v>
      </c>
      <c r="G101" s="427"/>
      <c r="H101" s="428"/>
      <c r="I101" s="427"/>
      <c r="J101" s="428"/>
      <c r="K101" s="427"/>
      <c r="L101" s="428"/>
      <c r="M101" s="388"/>
      <c r="N101" s="449"/>
      <c r="O101" s="449"/>
      <c r="P101" s="433"/>
      <c r="Q101" s="450"/>
      <c r="R101" s="450"/>
      <c r="S101" s="450"/>
      <c r="T101" s="450"/>
    </row>
    <row r="102" ht="15.95" customHeight="1" spans="1:20">
      <c r="A102" s="422">
        <v>83</v>
      </c>
      <c r="B102" s="423" t="e">
        <f t="shared" si="2"/>
        <v>#DIV/0!</v>
      </c>
      <c r="C102" s="424"/>
      <c r="D102" s="425"/>
      <c r="E102" s="429"/>
      <c r="F102" s="426">
        <v>83</v>
      </c>
      <c r="G102" s="427"/>
      <c r="H102" s="428"/>
      <c r="I102" s="427"/>
      <c r="J102" s="428"/>
      <c r="K102" s="427"/>
      <c r="L102" s="428"/>
      <c r="M102" s="388"/>
      <c r="N102" s="449"/>
      <c r="O102" s="449"/>
      <c r="P102" s="433"/>
      <c r="Q102" s="450"/>
      <c r="R102" s="450"/>
      <c r="S102" s="450"/>
      <c r="T102" s="450"/>
    </row>
    <row r="103" ht="15.95" customHeight="1" spans="1:20">
      <c r="A103" s="422">
        <v>84</v>
      </c>
      <c r="B103" s="423" t="e">
        <f t="shared" si="2"/>
        <v>#DIV/0!</v>
      </c>
      <c r="C103" s="424"/>
      <c r="D103" s="425"/>
      <c r="E103" s="429"/>
      <c r="F103" s="426">
        <v>84</v>
      </c>
      <c r="G103" s="427"/>
      <c r="H103" s="428"/>
      <c r="I103" s="427"/>
      <c r="J103" s="428"/>
      <c r="K103" s="427"/>
      <c r="L103" s="428"/>
      <c r="M103" s="388"/>
      <c r="N103" s="449"/>
      <c r="O103" s="449"/>
      <c r="P103" s="433"/>
      <c r="Q103" s="450"/>
      <c r="R103" s="450"/>
      <c r="S103" s="450"/>
      <c r="T103" s="450"/>
    </row>
    <row r="104" ht="15.95" customHeight="1" spans="1:20">
      <c r="A104" s="422">
        <v>85</v>
      </c>
      <c r="B104" s="423" t="e">
        <f t="shared" si="2"/>
        <v>#DIV/0!</v>
      </c>
      <c r="C104" s="424"/>
      <c r="D104" s="425"/>
      <c r="E104" s="429"/>
      <c r="F104" s="426">
        <v>85</v>
      </c>
      <c r="G104" s="427"/>
      <c r="H104" s="428"/>
      <c r="I104" s="427"/>
      <c r="J104" s="428"/>
      <c r="K104" s="427"/>
      <c r="L104" s="428"/>
      <c r="M104" s="388"/>
      <c r="N104" s="449"/>
      <c r="O104" s="449"/>
      <c r="P104" s="433"/>
      <c r="Q104" s="450"/>
      <c r="R104" s="450"/>
      <c r="S104" s="450"/>
      <c r="T104" s="450"/>
    </row>
    <row r="105" ht="15.95" customHeight="1" spans="1:20">
      <c r="A105" s="422">
        <v>86</v>
      </c>
      <c r="B105" s="423" t="e">
        <f t="shared" si="2"/>
        <v>#DIV/0!</v>
      </c>
      <c r="C105" s="424"/>
      <c r="D105" s="425"/>
      <c r="E105" s="429"/>
      <c r="F105" s="426">
        <v>86</v>
      </c>
      <c r="G105" s="427"/>
      <c r="H105" s="428"/>
      <c r="I105" s="427"/>
      <c r="J105" s="428"/>
      <c r="K105" s="427"/>
      <c r="L105" s="428"/>
      <c r="M105" s="388"/>
      <c r="N105" s="449"/>
      <c r="O105" s="449"/>
      <c r="P105" s="433"/>
      <c r="Q105" s="450"/>
      <c r="R105" s="450"/>
      <c r="S105" s="450"/>
      <c r="T105" s="450"/>
    </row>
    <row r="106" ht="15.95" customHeight="1" spans="1:20">
      <c r="A106" s="422">
        <v>87</v>
      </c>
      <c r="B106" s="423" t="e">
        <f t="shared" si="2"/>
        <v>#DIV/0!</v>
      </c>
      <c r="C106" s="424"/>
      <c r="D106" s="425"/>
      <c r="E106" s="429"/>
      <c r="F106" s="426">
        <v>87</v>
      </c>
      <c r="G106" s="427"/>
      <c r="H106" s="428"/>
      <c r="I106" s="427"/>
      <c r="J106" s="428"/>
      <c r="K106" s="427"/>
      <c r="L106" s="428"/>
      <c r="M106" s="388"/>
      <c r="N106" s="449"/>
      <c r="O106" s="449"/>
      <c r="P106" s="433"/>
      <c r="Q106" s="450"/>
      <c r="R106" s="450"/>
      <c r="S106" s="450"/>
      <c r="T106" s="450"/>
    </row>
    <row r="107" ht="15.95" customHeight="1" spans="1:20">
      <c r="A107" s="422">
        <v>88</v>
      </c>
      <c r="B107" s="423" t="e">
        <f t="shared" si="2"/>
        <v>#DIV/0!</v>
      </c>
      <c r="C107" s="424"/>
      <c r="D107" s="425"/>
      <c r="E107" s="429"/>
      <c r="F107" s="426">
        <v>88</v>
      </c>
      <c r="G107" s="427"/>
      <c r="H107" s="428"/>
      <c r="I107" s="427"/>
      <c r="J107" s="428"/>
      <c r="K107" s="427"/>
      <c r="L107" s="428"/>
      <c r="M107" s="388"/>
      <c r="N107" s="449"/>
      <c r="O107" s="449"/>
      <c r="P107" s="433"/>
      <c r="Q107" s="450"/>
      <c r="R107" s="450"/>
      <c r="S107" s="450"/>
      <c r="T107" s="450"/>
    </row>
    <row r="108" ht="15.95" customHeight="1" spans="1:20">
      <c r="A108" s="422">
        <v>89</v>
      </c>
      <c r="B108" s="423" t="e">
        <f t="shared" si="2"/>
        <v>#DIV/0!</v>
      </c>
      <c r="C108" s="424"/>
      <c r="D108" s="425"/>
      <c r="E108" s="429"/>
      <c r="F108" s="426">
        <v>89</v>
      </c>
      <c r="G108" s="427"/>
      <c r="H108" s="428"/>
      <c r="I108" s="427"/>
      <c r="J108" s="428"/>
      <c r="K108" s="427"/>
      <c r="L108" s="428"/>
      <c r="M108" s="388"/>
      <c r="N108" s="449"/>
      <c r="O108" s="449"/>
      <c r="P108" s="433"/>
      <c r="Q108" s="450"/>
      <c r="R108" s="450"/>
      <c r="S108" s="450"/>
      <c r="T108" s="450"/>
    </row>
    <row r="109" ht="15.95" customHeight="1" spans="1:20">
      <c r="A109" s="422">
        <v>90</v>
      </c>
      <c r="B109" s="423" t="e">
        <f t="shared" si="2"/>
        <v>#DIV/0!</v>
      </c>
      <c r="C109" s="424"/>
      <c r="D109" s="425"/>
      <c r="E109" s="429"/>
      <c r="F109" s="426">
        <v>90</v>
      </c>
      <c r="G109" s="427"/>
      <c r="H109" s="428"/>
      <c r="I109" s="427"/>
      <c r="J109" s="428"/>
      <c r="K109" s="427"/>
      <c r="L109" s="428"/>
      <c r="M109" s="388"/>
      <c r="N109" s="449"/>
      <c r="O109" s="449"/>
      <c r="P109" s="433"/>
      <c r="Q109" s="450"/>
      <c r="R109" s="450"/>
      <c r="S109" s="450"/>
      <c r="T109" s="450"/>
    </row>
    <row r="110" ht="15.95" customHeight="1" spans="1:20">
      <c r="A110" s="422">
        <v>91</v>
      </c>
      <c r="B110" s="423" t="e">
        <f t="shared" si="2"/>
        <v>#DIV/0!</v>
      </c>
      <c r="C110" s="424"/>
      <c r="D110" s="425"/>
      <c r="E110" s="429"/>
      <c r="F110" s="426">
        <v>91</v>
      </c>
      <c r="G110" s="427"/>
      <c r="H110" s="428"/>
      <c r="I110" s="427"/>
      <c r="J110" s="428"/>
      <c r="K110" s="427"/>
      <c r="L110" s="428"/>
      <c r="M110" s="388"/>
      <c r="N110" s="449"/>
      <c r="O110" s="449"/>
      <c r="P110" s="433"/>
      <c r="Q110" s="450"/>
      <c r="R110" s="450"/>
      <c r="S110" s="450"/>
      <c r="T110" s="450"/>
    </row>
    <row r="111" ht="15.95" customHeight="1" spans="1:20">
      <c r="A111" s="422">
        <v>92</v>
      </c>
      <c r="B111" s="423" t="e">
        <f t="shared" si="2"/>
        <v>#DIV/0!</v>
      </c>
      <c r="C111" s="424"/>
      <c r="D111" s="425"/>
      <c r="E111" s="429"/>
      <c r="F111" s="426">
        <v>92</v>
      </c>
      <c r="G111" s="427"/>
      <c r="H111" s="428"/>
      <c r="I111" s="427"/>
      <c r="J111" s="428"/>
      <c r="K111" s="427"/>
      <c r="L111" s="428"/>
      <c r="M111" s="388"/>
      <c r="N111" s="449"/>
      <c r="O111" s="449"/>
      <c r="P111" s="433"/>
      <c r="Q111" s="450"/>
      <c r="R111" s="450"/>
      <c r="S111" s="450"/>
      <c r="T111" s="450"/>
    </row>
    <row r="112" ht="15.95" customHeight="1" spans="1:20">
      <c r="A112" s="422">
        <v>93</v>
      </c>
      <c r="B112" s="423" t="e">
        <f t="shared" si="2"/>
        <v>#DIV/0!</v>
      </c>
      <c r="C112" s="424"/>
      <c r="D112" s="425"/>
      <c r="E112" s="429"/>
      <c r="F112" s="426">
        <v>93</v>
      </c>
      <c r="G112" s="427"/>
      <c r="H112" s="428"/>
      <c r="I112" s="427"/>
      <c r="J112" s="428"/>
      <c r="K112" s="427"/>
      <c r="L112" s="428"/>
      <c r="M112" s="388"/>
      <c r="N112" s="449"/>
      <c r="O112" s="449"/>
      <c r="P112" s="433"/>
      <c r="Q112" s="450"/>
      <c r="R112" s="450"/>
      <c r="S112" s="450"/>
      <c r="T112" s="450"/>
    </row>
    <row r="113" ht="15.95" customHeight="1" spans="1:20">
      <c r="A113" s="422">
        <v>94</v>
      </c>
      <c r="B113" s="423" t="e">
        <f t="shared" si="2"/>
        <v>#DIV/0!</v>
      </c>
      <c r="C113" s="424"/>
      <c r="D113" s="425"/>
      <c r="E113" s="429"/>
      <c r="F113" s="426">
        <v>94</v>
      </c>
      <c r="G113" s="427"/>
      <c r="H113" s="428"/>
      <c r="I113" s="427"/>
      <c r="J113" s="428"/>
      <c r="K113" s="427"/>
      <c r="L113" s="428"/>
      <c r="M113" s="388"/>
      <c r="N113" s="449"/>
      <c r="O113" s="449"/>
      <c r="P113" s="433"/>
      <c r="Q113" s="450"/>
      <c r="R113" s="450"/>
      <c r="S113" s="450"/>
      <c r="T113" s="450"/>
    </row>
    <row r="114" ht="15.95" customHeight="1" spans="1:20">
      <c r="A114" s="422">
        <v>95</v>
      </c>
      <c r="B114" s="423" t="e">
        <f t="shared" si="2"/>
        <v>#DIV/0!</v>
      </c>
      <c r="C114" s="424"/>
      <c r="D114" s="425"/>
      <c r="E114" s="429"/>
      <c r="F114" s="426">
        <v>95</v>
      </c>
      <c r="G114" s="427"/>
      <c r="H114" s="428"/>
      <c r="I114" s="427"/>
      <c r="J114" s="428"/>
      <c r="K114" s="427"/>
      <c r="L114" s="428"/>
      <c r="M114" s="388"/>
      <c r="N114" s="449"/>
      <c r="O114" s="449"/>
      <c r="P114" s="433"/>
      <c r="Q114" s="450"/>
      <c r="R114" s="450"/>
      <c r="S114" s="450"/>
      <c r="T114" s="450"/>
    </row>
    <row r="115" ht="15.95" customHeight="1" spans="1:20">
      <c r="A115" s="422">
        <v>96</v>
      </c>
      <c r="B115" s="423" t="e">
        <f t="shared" si="2"/>
        <v>#DIV/0!</v>
      </c>
      <c r="C115" s="424"/>
      <c r="D115" s="425"/>
      <c r="E115" s="429"/>
      <c r="F115" s="426">
        <v>96</v>
      </c>
      <c r="G115" s="427"/>
      <c r="H115" s="428"/>
      <c r="I115" s="427"/>
      <c r="J115" s="428"/>
      <c r="K115" s="427"/>
      <c r="L115" s="428"/>
      <c r="M115" s="388"/>
      <c r="N115" s="449"/>
      <c r="O115" s="449"/>
      <c r="P115" s="433"/>
      <c r="Q115" s="450"/>
      <c r="R115" s="450"/>
      <c r="S115" s="450"/>
      <c r="T115" s="450"/>
    </row>
    <row r="116" ht="15.95" customHeight="1" spans="1:20">
      <c r="A116" s="422">
        <v>97</v>
      </c>
      <c r="B116" s="423" t="e">
        <f t="shared" si="2"/>
        <v>#DIV/0!</v>
      </c>
      <c r="C116" s="424"/>
      <c r="D116" s="425"/>
      <c r="E116" s="429"/>
      <c r="F116" s="426">
        <v>97</v>
      </c>
      <c r="G116" s="427"/>
      <c r="H116" s="428"/>
      <c r="I116" s="427"/>
      <c r="J116" s="428"/>
      <c r="K116" s="427"/>
      <c r="L116" s="428"/>
      <c r="M116" s="388"/>
      <c r="N116" s="449"/>
      <c r="O116" s="449"/>
      <c r="P116" s="433"/>
      <c r="Q116" s="450"/>
      <c r="R116" s="450"/>
      <c r="S116" s="450"/>
      <c r="T116" s="450"/>
    </row>
    <row r="117" ht="15.95" customHeight="1" spans="1:20">
      <c r="A117" s="422">
        <v>98</v>
      </c>
      <c r="B117" s="423" t="e">
        <f t="shared" si="2"/>
        <v>#DIV/0!</v>
      </c>
      <c r="C117" s="424"/>
      <c r="D117" s="425"/>
      <c r="E117" s="429"/>
      <c r="F117" s="426">
        <v>98</v>
      </c>
      <c r="G117" s="427"/>
      <c r="H117" s="428"/>
      <c r="I117" s="427"/>
      <c r="J117" s="428"/>
      <c r="K117" s="427"/>
      <c r="L117" s="428"/>
      <c r="M117" s="388"/>
      <c r="N117" s="449"/>
      <c r="O117" s="449"/>
      <c r="P117" s="433"/>
      <c r="Q117" s="450"/>
      <c r="R117" s="450"/>
      <c r="S117" s="450"/>
      <c r="T117" s="450"/>
    </row>
    <row r="118" ht="15.95" customHeight="1" spans="1:20">
      <c r="A118" s="422">
        <v>99</v>
      </c>
      <c r="B118" s="423" t="e">
        <f t="shared" si="2"/>
        <v>#DIV/0!</v>
      </c>
      <c r="C118" s="424"/>
      <c r="D118" s="425"/>
      <c r="E118" s="429"/>
      <c r="F118" s="426">
        <v>99</v>
      </c>
      <c r="G118" s="427"/>
      <c r="H118" s="428"/>
      <c r="I118" s="427"/>
      <c r="J118" s="428"/>
      <c r="K118" s="427"/>
      <c r="L118" s="428"/>
      <c r="M118" s="388"/>
      <c r="N118" s="449"/>
      <c r="O118" s="449"/>
      <c r="P118" s="433"/>
      <c r="Q118" s="450"/>
      <c r="R118" s="450"/>
      <c r="S118" s="450"/>
      <c r="T118" s="450"/>
    </row>
    <row r="119" ht="15.95" customHeight="1" spans="1:20">
      <c r="A119" s="422">
        <v>100</v>
      </c>
      <c r="B119" s="423" t="e">
        <f t="shared" si="2"/>
        <v>#DIV/0!</v>
      </c>
      <c r="C119" s="424"/>
      <c r="D119" s="425"/>
      <c r="E119" s="429"/>
      <c r="F119" s="426">
        <v>100</v>
      </c>
      <c r="G119" s="427"/>
      <c r="H119" s="428"/>
      <c r="I119" s="427"/>
      <c r="J119" s="428"/>
      <c r="K119" s="427"/>
      <c r="L119" s="428"/>
      <c r="M119" s="388"/>
      <c r="N119" s="449"/>
      <c r="O119" s="449"/>
      <c r="P119" s="433"/>
      <c r="Q119" s="450"/>
      <c r="R119" s="450"/>
      <c r="S119" s="450"/>
      <c r="T119" s="450"/>
    </row>
    <row r="120" ht="15.95" customHeight="1" spans="1:20">
      <c r="A120" s="422">
        <v>101</v>
      </c>
      <c r="B120" s="423" t="e">
        <f t="shared" si="2"/>
        <v>#DIV/0!</v>
      </c>
      <c r="C120" s="424"/>
      <c r="D120" s="425"/>
      <c r="E120" s="429"/>
      <c r="F120" s="426">
        <v>101</v>
      </c>
      <c r="G120" s="427"/>
      <c r="H120" s="428"/>
      <c r="I120" s="427"/>
      <c r="J120" s="428"/>
      <c r="K120" s="427"/>
      <c r="L120" s="428"/>
      <c r="M120" s="388"/>
      <c r="N120" s="449"/>
      <c r="O120" s="449"/>
      <c r="P120" s="433"/>
      <c r="Q120" s="450"/>
      <c r="R120" s="450"/>
      <c r="S120" s="450"/>
      <c r="T120" s="450"/>
    </row>
    <row r="121" ht="15.95" customHeight="1" spans="1:20">
      <c r="A121" s="422">
        <v>102</v>
      </c>
      <c r="B121" s="423" t="e">
        <f t="shared" si="2"/>
        <v>#DIV/0!</v>
      </c>
      <c r="C121" s="424"/>
      <c r="D121" s="425"/>
      <c r="E121" s="429"/>
      <c r="F121" s="426">
        <v>102</v>
      </c>
      <c r="G121" s="427"/>
      <c r="H121" s="428"/>
      <c r="I121" s="427"/>
      <c r="J121" s="428"/>
      <c r="K121" s="427"/>
      <c r="L121" s="428"/>
      <c r="M121" s="388"/>
      <c r="N121" s="449"/>
      <c r="O121" s="449"/>
      <c r="P121" s="433"/>
      <c r="Q121" s="450"/>
      <c r="R121" s="450"/>
      <c r="S121" s="450"/>
      <c r="T121" s="450"/>
    </row>
    <row r="122" ht="15.95" customHeight="1" spans="1:20">
      <c r="A122" s="422">
        <v>103</v>
      </c>
      <c r="B122" s="423" t="e">
        <f t="shared" si="2"/>
        <v>#DIV/0!</v>
      </c>
      <c r="C122" s="424"/>
      <c r="D122" s="425"/>
      <c r="E122" s="429"/>
      <c r="F122" s="426">
        <v>103</v>
      </c>
      <c r="G122" s="427"/>
      <c r="H122" s="428"/>
      <c r="I122" s="427"/>
      <c r="J122" s="428"/>
      <c r="K122" s="427"/>
      <c r="L122" s="428"/>
      <c r="M122" s="388"/>
      <c r="N122" s="449"/>
      <c r="O122" s="449"/>
      <c r="P122" s="433"/>
      <c r="Q122" s="450"/>
      <c r="R122" s="450"/>
      <c r="S122" s="450"/>
      <c r="T122" s="450"/>
    </row>
    <row r="123" ht="15.95" customHeight="1" spans="1:20">
      <c r="A123" s="422">
        <v>104</v>
      </c>
      <c r="B123" s="423" t="e">
        <f t="shared" si="2"/>
        <v>#DIV/0!</v>
      </c>
      <c r="C123" s="424"/>
      <c r="D123" s="425"/>
      <c r="E123" s="429"/>
      <c r="F123" s="426">
        <v>104</v>
      </c>
      <c r="G123" s="427"/>
      <c r="H123" s="428"/>
      <c r="I123" s="427"/>
      <c r="J123" s="428"/>
      <c r="K123" s="427"/>
      <c r="L123" s="428"/>
      <c r="M123" s="388"/>
      <c r="N123" s="449"/>
      <c r="O123" s="449"/>
      <c r="P123" s="433"/>
      <c r="Q123" s="450"/>
      <c r="R123" s="450"/>
      <c r="S123" s="450"/>
      <c r="T123" s="450"/>
    </row>
    <row r="124" ht="15.95" customHeight="1" spans="1:20">
      <c r="A124" s="422">
        <v>105</v>
      </c>
      <c r="B124" s="423" t="e">
        <f t="shared" si="2"/>
        <v>#DIV/0!</v>
      </c>
      <c r="C124" s="424"/>
      <c r="D124" s="425"/>
      <c r="E124" s="429"/>
      <c r="F124" s="426">
        <v>105</v>
      </c>
      <c r="G124" s="427"/>
      <c r="H124" s="428"/>
      <c r="I124" s="427"/>
      <c r="J124" s="428"/>
      <c r="K124" s="427"/>
      <c r="L124" s="428"/>
      <c r="M124" s="388"/>
      <c r="N124" s="449"/>
      <c r="O124" s="449"/>
      <c r="P124" s="433"/>
      <c r="Q124" s="450"/>
      <c r="R124" s="450"/>
      <c r="S124" s="450"/>
      <c r="T124" s="450"/>
    </row>
    <row r="125" ht="15.95" customHeight="1" spans="1:20">
      <c r="A125" s="422">
        <v>106</v>
      </c>
      <c r="B125" s="423" t="e">
        <f t="shared" si="2"/>
        <v>#DIV/0!</v>
      </c>
      <c r="C125" s="424"/>
      <c r="D125" s="425"/>
      <c r="E125" s="429"/>
      <c r="F125" s="426">
        <v>106</v>
      </c>
      <c r="G125" s="427"/>
      <c r="H125" s="428"/>
      <c r="I125" s="427"/>
      <c r="J125" s="428"/>
      <c r="K125" s="427"/>
      <c r="L125" s="428"/>
      <c r="M125" s="388"/>
      <c r="N125" s="449"/>
      <c r="O125" s="449"/>
      <c r="P125" s="433"/>
      <c r="Q125" s="450"/>
      <c r="R125" s="450"/>
      <c r="S125" s="450"/>
      <c r="T125" s="450"/>
    </row>
    <row r="126" ht="15.95" customHeight="1" spans="1:20">
      <c r="A126" s="422">
        <v>107</v>
      </c>
      <c r="B126" s="423" t="e">
        <f t="shared" si="2"/>
        <v>#DIV/0!</v>
      </c>
      <c r="C126" s="424"/>
      <c r="D126" s="425"/>
      <c r="E126" s="429"/>
      <c r="F126" s="426">
        <v>107</v>
      </c>
      <c r="G126" s="427"/>
      <c r="H126" s="428"/>
      <c r="I126" s="427"/>
      <c r="J126" s="428"/>
      <c r="K126" s="427"/>
      <c r="L126" s="428"/>
      <c r="M126" s="388"/>
      <c r="N126" s="449"/>
      <c r="O126" s="449"/>
      <c r="P126" s="433"/>
      <c r="Q126" s="450"/>
      <c r="R126" s="450"/>
      <c r="S126" s="450"/>
      <c r="T126" s="450"/>
    </row>
    <row r="127" ht="15.95" customHeight="1" spans="1:20">
      <c r="A127" s="422">
        <v>108</v>
      </c>
      <c r="B127" s="423" t="e">
        <f t="shared" si="2"/>
        <v>#DIV/0!</v>
      </c>
      <c r="C127" s="424"/>
      <c r="D127" s="425"/>
      <c r="E127" s="429"/>
      <c r="F127" s="426">
        <v>108</v>
      </c>
      <c r="G127" s="427"/>
      <c r="H127" s="428"/>
      <c r="I127" s="427"/>
      <c r="J127" s="428"/>
      <c r="K127" s="427"/>
      <c r="L127" s="428"/>
      <c r="M127" s="388"/>
      <c r="N127" s="449"/>
      <c r="O127" s="449"/>
      <c r="P127" s="433"/>
      <c r="Q127" s="450"/>
      <c r="R127" s="450"/>
      <c r="S127" s="450"/>
      <c r="T127" s="450"/>
    </row>
    <row r="128" ht="15.95" customHeight="1" spans="1:20">
      <c r="A128" s="422">
        <v>109</v>
      </c>
      <c r="B128" s="423" t="e">
        <f t="shared" si="2"/>
        <v>#DIV/0!</v>
      </c>
      <c r="C128" s="424"/>
      <c r="D128" s="425"/>
      <c r="E128" s="429"/>
      <c r="F128" s="426">
        <v>109</v>
      </c>
      <c r="G128" s="427"/>
      <c r="H128" s="428"/>
      <c r="I128" s="427"/>
      <c r="J128" s="428"/>
      <c r="K128" s="427"/>
      <c r="L128" s="428"/>
      <c r="M128" s="388"/>
      <c r="N128" s="449"/>
      <c r="O128" s="449"/>
      <c r="P128" s="433"/>
      <c r="Q128" s="450"/>
      <c r="R128" s="450"/>
      <c r="S128" s="450"/>
      <c r="T128" s="450"/>
    </row>
    <row r="129" ht="15.95" customHeight="1" spans="1:20">
      <c r="A129" s="422">
        <v>110</v>
      </c>
      <c r="B129" s="423" t="e">
        <f t="shared" si="2"/>
        <v>#DIV/0!</v>
      </c>
      <c r="C129" s="424"/>
      <c r="D129" s="425"/>
      <c r="E129" s="429"/>
      <c r="F129" s="426">
        <v>110</v>
      </c>
      <c r="G129" s="427"/>
      <c r="H129" s="428"/>
      <c r="I129" s="427"/>
      <c r="J129" s="428"/>
      <c r="K129" s="427"/>
      <c r="L129" s="428"/>
      <c r="M129" s="388"/>
      <c r="N129" s="449"/>
      <c r="O129" s="449"/>
      <c r="P129" s="433"/>
      <c r="Q129" s="450"/>
      <c r="R129" s="450"/>
      <c r="S129" s="450"/>
      <c r="T129" s="450"/>
    </row>
    <row r="130" ht="15.95" customHeight="1" spans="1:20">
      <c r="A130" s="422">
        <v>111</v>
      </c>
      <c r="B130" s="423" t="e">
        <f t="shared" si="2"/>
        <v>#DIV/0!</v>
      </c>
      <c r="C130" s="424"/>
      <c r="D130" s="425"/>
      <c r="E130" s="429"/>
      <c r="F130" s="426">
        <v>111</v>
      </c>
      <c r="G130" s="427"/>
      <c r="H130" s="428"/>
      <c r="I130" s="427"/>
      <c r="J130" s="428"/>
      <c r="K130" s="427"/>
      <c r="L130" s="428"/>
      <c r="M130" s="388"/>
      <c r="N130" s="449"/>
      <c r="O130" s="449"/>
      <c r="P130" s="433"/>
      <c r="Q130" s="450"/>
      <c r="R130" s="450"/>
      <c r="S130" s="450"/>
      <c r="T130" s="450"/>
    </row>
    <row r="131" ht="15.95" customHeight="1" spans="1:20">
      <c r="A131" s="422">
        <v>112</v>
      </c>
      <c r="B131" s="423" t="e">
        <f t="shared" si="2"/>
        <v>#DIV/0!</v>
      </c>
      <c r="C131" s="424"/>
      <c r="D131" s="425"/>
      <c r="E131" s="429"/>
      <c r="F131" s="426">
        <v>112</v>
      </c>
      <c r="G131" s="427"/>
      <c r="H131" s="428"/>
      <c r="I131" s="427"/>
      <c r="J131" s="428"/>
      <c r="K131" s="427"/>
      <c r="L131" s="428"/>
      <c r="M131" s="388"/>
      <c r="N131" s="449"/>
      <c r="O131" s="449"/>
      <c r="P131" s="433"/>
      <c r="Q131" s="450"/>
      <c r="R131" s="450"/>
      <c r="S131" s="450"/>
      <c r="T131" s="450"/>
    </row>
    <row r="132" ht="15.95" customHeight="1" spans="1:20">
      <c r="A132" s="422">
        <v>113</v>
      </c>
      <c r="B132" s="423" t="e">
        <f t="shared" si="2"/>
        <v>#DIV/0!</v>
      </c>
      <c r="C132" s="424"/>
      <c r="D132" s="425"/>
      <c r="E132" s="429"/>
      <c r="F132" s="426">
        <v>113</v>
      </c>
      <c r="G132" s="427"/>
      <c r="H132" s="428"/>
      <c r="I132" s="427"/>
      <c r="J132" s="428"/>
      <c r="K132" s="427"/>
      <c r="L132" s="428"/>
      <c r="M132" s="388"/>
      <c r="N132" s="449"/>
      <c r="O132" s="449"/>
      <c r="P132" s="433"/>
      <c r="Q132" s="450"/>
      <c r="R132" s="450"/>
      <c r="S132" s="450"/>
      <c r="T132" s="450"/>
    </row>
    <row r="133" ht="15.95" customHeight="1" spans="1:20">
      <c r="A133" s="422">
        <v>114</v>
      </c>
      <c r="B133" s="423" t="e">
        <f t="shared" si="2"/>
        <v>#DIV/0!</v>
      </c>
      <c r="C133" s="424"/>
      <c r="D133" s="425"/>
      <c r="E133" s="429"/>
      <c r="F133" s="426">
        <v>114</v>
      </c>
      <c r="G133" s="427"/>
      <c r="H133" s="428"/>
      <c r="I133" s="427"/>
      <c r="J133" s="428"/>
      <c r="K133" s="427"/>
      <c r="L133" s="428"/>
      <c r="M133" s="388"/>
      <c r="N133" s="449"/>
      <c r="O133" s="449"/>
      <c r="P133" s="433"/>
      <c r="Q133" s="450"/>
      <c r="R133" s="450"/>
      <c r="S133" s="450"/>
      <c r="T133" s="450"/>
    </row>
    <row r="134" ht="15.95" customHeight="1" spans="1:20">
      <c r="A134" s="422">
        <v>115</v>
      </c>
      <c r="B134" s="423" t="e">
        <f t="shared" si="2"/>
        <v>#DIV/0!</v>
      </c>
      <c r="C134" s="424"/>
      <c r="D134" s="425"/>
      <c r="E134" s="429"/>
      <c r="F134" s="426">
        <v>115</v>
      </c>
      <c r="G134" s="427"/>
      <c r="H134" s="428"/>
      <c r="I134" s="427"/>
      <c r="J134" s="428"/>
      <c r="K134" s="427"/>
      <c r="L134" s="428"/>
      <c r="M134" s="388"/>
      <c r="N134" s="449"/>
      <c r="O134" s="449"/>
      <c r="P134" s="433"/>
      <c r="Q134" s="450"/>
      <c r="R134" s="450"/>
      <c r="S134" s="450"/>
      <c r="T134" s="450"/>
    </row>
    <row r="135" ht="15.95" customHeight="1" spans="1:20">
      <c r="A135" s="422">
        <v>116</v>
      </c>
      <c r="B135" s="423" t="e">
        <f t="shared" si="2"/>
        <v>#DIV/0!</v>
      </c>
      <c r="C135" s="424"/>
      <c r="D135" s="425"/>
      <c r="E135" s="429"/>
      <c r="F135" s="426">
        <v>116</v>
      </c>
      <c r="G135" s="427"/>
      <c r="H135" s="428"/>
      <c r="I135" s="427"/>
      <c r="J135" s="428"/>
      <c r="K135" s="427"/>
      <c r="L135" s="428"/>
      <c r="M135" s="388"/>
      <c r="N135" s="449"/>
      <c r="O135" s="449"/>
      <c r="P135" s="433"/>
      <c r="Q135" s="450"/>
      <c r="R135" s="450"/>
      <c r="S135" s="450"/>
      <c r="T135" s="450"/>
    </row>
    <row r="136" ht="15.95" customHeight="1" spans="1:20">
      <c r="A136" s="422">
        <v>117</v>
      </c>
      <c r="B136" s="423" t="e">
        <f t="shared" si="2"/>
        <v>#DIV/0!</v>
      </c>
      <c r="C136" s="424"/>
      <c r="D136" s="425"/>
      <c r="E136" s="429"/>
      <c r="F136" s="426">
        <v>117</v>
      </c>
      <c r="G136" s="427"/>
      <c r="H136" s="428"/>
      <c r="I136" s="427"/>
      <c r="J136" s="428"/>
      <c r="K136" s="427"/>
      <c r="L136" s="428"/>
      <c r="M136" s="388"/>
      <c r="N136" s="449"/>
      <c r="O136" s="449"/>
      <c r="P136" s="433"/>
      <c r="Q136" s="450"/>
      <c r="R136" s="450"/>
      <c r="S136" s="450"/>
      <c r="T136" s="450"/>
    </row>
    <row r="137" ht="15.95" customHeight="1" spans="1:20">
      <c r="A137" s="422">
        <v>118</v>
      </c>
      <c r="B137" s="423" t="e">
        <f t="shared" si="2"/>
        <v>#DIV/0!</v>
      </c>
      <c r="C137" s="424"/>
      <c r="D137" s="425"/>
      <c r="E137" s="429"/>
      <c r="F137" s="426">
        <v>118</v>
      </c>
      <c r="G137" s="427"/>
      <c r="H137" s="428"/>
      <c r="I137" s="427"/>
      <c r="J137" s="428"/>
      <c r="K137" s="427"/>
      <c r="L137" s="428"/>
      <c r="M137" s="388"/>
      <c r="N137" s="449"/>
      <c r="O137" s="449"/>
      <c r="P137" s="433"/>
      <c r="Q137" s="450"/>
      <c r="R137" s="450"/>
      <c r="S137" s="450"/>
      <c r="T137" s="450"/>
    </row>
    <row r="138" ht="15.95" customHeight="1" spans="1:20">
      <c r="A138" s="422">
        <v>119</v>
      </c>
      <c r="B138" s="423" t="e">
        <f t="shared" si="2"/>
        <v>#DIV/0!</v>
      </c>
      <c r="C138" s="424"/>
      <c r="D138" s="425"/>
      <c r="E138" s="429"/>
      <c r="F138" s="426">
        <v>119</v>
      </c>
      <c r="G138" s="427"/>
      <c r="H138" s="428"/>
      <c r="I138" s="427"/>
      <c r="J138" s="428"/>
      <c r="K138" s="427"/>
      <c r="L138" s="428"/>
      <c r="M138" s="388"/>
      <c r="N138" s="449"/>
      <c r="O138" s="449"/>
      <c r="P138" s="433"/>
      <c r="Q138" s="450"/>
      <c r="R138" s="450"/>
      <c r="S138" s="450"/>
      <c r="T138" s="450"/>
    </row>
    <row r="139" ht="15.95" customHeight="1" spans="1:20">
      <c r="A139" s="422">
        <v>120</v>
      </c>
      <c r="B139" s="423" t="e">
        <f t="shared" si="2"/>
        <v>#DIV/0!</v>
      </c>
      <c r="C139" s="424"/>
      <c r="D139" s="425"/>
      <c r="E139" s="429"/>
      <c r="F139" s="426">
        <v>120</v>
      </c>
      <c r="G139" s="427"/>
      <c r="H139" s="428"/>
      <c r="I139" s="427"/>
      <c r="J139" s="428"/>
      <c r="K139" s="427"/>
      <c r="L139" s="428"/>
      <c r="M139" s="388"/>
      <c r="N139" s="449"/>
      <c r="O139" s="449"/>
      <c r="P139" s="433"/>
      <c r="Q139" s="450"/>
      <c r="R139" s="450"/>
      <c r="S139" s="450"/>
      <c r="T139" s="450"/>
    </row>
    <row r="140" ht="15.95" customHeight="1" spans="1:20">
      <c r="A140" s="422">
        <v>121</v>
      </c>
      <c r="B140" s="423" t="e">
        <f t="shared" si="2"/>
        <v>#DIV/0!</v>
      </c>
      <c r="C140" s="424"/>
      <c r="D140" s="425"/>
      <c r="E140" s="429"/>
      <c r="F140" s="426">
        <v>121</v>
      </c>
      <c r="G140" s="427"/>
      <c r="H140" s="428"/>
      <c r="I140" s="427"/>
      <c r="J140" s="428"/>
      <c r="K140" s="427"/>
      <c r="L140" s="428"/>
      <c r="M140" s="388"/>
      <c r="N140" s="449"/>
      <c r="O140" s="449"/>
      <c r="P140" s="433"/>
      <c r="Q140" s="450"/>
      <c r="R140" s="450"/>
      <c r="S140" s="450"/>
      <c r="T140" s="450"/>
    </row>
    <row r="141" ht="15.95" customHeight="1" spans="1:20">
      <c r="A141" s="422">
        <v>122</v>
      </c>
      <c r="B141" s="423" t="e">
        <f t="shared" si="2"/>
        <v>#DIV/0!</v>
      </c>
      <c r="C141" s="424"/>
      <c r="D141" s="425"/>
      <c r="E141" s="429"/>
      <c r="F141" s="426">
        <v>122</v>
      </c>
      <c r="G141" s="427"/>
      <c r="H141" s="428"/>
      <c r="I141" s="427"/>
      <c r="J141" s="428"/>
      <c r="K141" s="427"/>
      <c r="L141" s="428"/>
      <c r="M141" s="388"/>
      <c r="N141" s="449"/>
      <c r="O141" s="449"/>
      <c r="P141" s="433"/>
      <c r="Q141" s="450"/>
      <c r="R141" s="450"/>
      <c r="S141" s="450"/>
      <c r="T141" s="450"/>
    </row>
    <row r="142" ht="15.95" customHeight="1" spans="1:20">
      <c r="A142" s="422">
        <v>123</v>
      </c>
      <c r="B142" s="423" t="e">
        <f t="shared" si="2"/>
        <v>#DIV/0!</v>
      </c>
      <c r="C142" s="424"/>
      <c r="D142" s="425"/>
      <c r="E142" s="429"/>
      <c r="F142" s="426">
        <v>123</v>
      </c>
      <c r="G142" s="427"/>
      <c r="H142" s="428"/>
      <c r="I142" s="427"/>
      <c r="J142" s="428"/>
      <c r="K142" s="427"/>
      <c r="L142" s="428"/>
      <c r="M142" s="388"/>
      <c r="N142" s="449"/>
      <c r="O142" s="449"/>
      <c r="P142" s="433"/>
      <c r="Q142" s="450"/>
      <c r="R142" s="450"/>
      <c r="S142" s="450"/>
      <c r="T142" s="450"/>
    </row>
    <row r="143" ht="15.95" customHeight="1" spans="1:20">
      <c r="A143" s="422">
        <v>124</v>
      </c>
      <c r="B143" s="423" t="e">
        <f t="shared" si="2"/>
        <v>#DIV/0!</v>
      </c>
      <c r="C143" s="424"/>
      <c r="D143" s="425"/>
      <c r="E143" s="429"/>
      <c r="F143" s="426">
        <v>124</v>
      </c>
      <c r="G143" s="427"/>
      <c r="H143" s="428"/>
      <c r="I143" s="427"/>
      <c r="J143" s="428"/>
      <c r="K143" s="427"/>
      <c r="L143" s="428"/>
      <c r="M143" s="388"/>
      <c r="N143" s="449"/>
      <c r="O143" s="449"/>
      <c r="P143" s="433"/>
      <c r="Q143" s="450"/>
      <c r="R143" s="450"/>
      <c r="S143" s="450"/>
      <c r="T143" s="450"/>
    </row>
    <row r="144" ht="15.95" customHeight="1" spans="1:20">
      <c r="A144" s="422">
        <v>125</v>
      </c>
      <c r="B144" s="423" t="e">
        <f t="shared" si="2"/>
        <v>#DIV/0!</v>
      </c>
      <c r="C144" s="424"/>
      <c r="D144" s="425"/>
      <c r="E144" s="429"/>
      <c r="F144" s="426">
        <v>125</v>
      </c>
      <c r="G144" s="427"/>
      <c r="H144" s="428"/>
      <c r="I144" s="427"/>
      <c r="J144" s="428"/>
      <c r="K144" s="427"/>
      <c r="L144" s="428"/>
      <c r="M144" s="388"/>
      <c r="N144" s="449"/>
      <c r="O144" s="449"/>
      <c r="P144" s="433"/>
      <c r="Q144" s="450"/>
      <c r="R144" s="450"/>
      <c r="S144" s="450"/>
      <c r="T144" s="450"/>
    </row>
    <row r="145" ht="15.95" customHeight="1" spans="1:20">
      <c r="A145" s="422">
        <v>126</v>
      </c>
      <c r="B145" s="423" t="e">
        <f t="shared" si="2"/>
        <v>#DIV/0!</v>
      </c>
      <c r="C145" s="424"/>
      <c r="D145" s="425"/>
      <c r="E145" s="429"/>
      <c r="F145" s="426">
        <v>126</v>
      </c>
      <c r="G145" s="427"/>
      <c r="H145" s="428"/>
      <c r="I145" s="427"/>
      <c r="J145" s="428"/>
      <c r="K145" s="427"/>
      <c r="L145" s="428"/>
      <c r="M145" s="388"/>
      <c r="N145" s="449"/>
      <c r="O145" s="449"/>
      <c r="P145" s="433"/>
      <c r="Q145" s="450"/>
      <c r="R145" s="450"/>
      <c r="S145" s="450"/>
      <c r="T145" s="450"/>
    </row>
    <row r="146" ht="15.95" customHeight="1" spans="1:20">
      <c r="A146" s="422">
        <v>127</v>
      </c>
      <c r="B146" s="423" t="e">
        <f t="shared" si="2"/>
        <v>#DIV/0!</v>
      </c>
      <c r="C146" s="424"/>
      <c r="D146" s="425"/>
      <c r="E146" s="429"/>
      <c r="F146" s="426">
        <v>127</v>
      </c>
      <c r="G146" s="427"/>
      <c r="H146" s="428"/>
      <c r="I146" s="427"/>
      <c r="J146" s="428"/>
      <c r="K146" s="427"/>
      <c r="L146" s="428"/>
      <c r="M146" s="388"/>
      <c r="N146" s="449"/>
      <c r="O146" s="449"/>
      <c r="P146" s="433"/>
      <c r="Q146" s="450"/>
      <c r="R146" s="450"/>
      <c r="S146" s="450"/>
      <c r="T146" s="450"/>
    </row>
    <row r="147" ht="15.95" customHeight="1" spans="1:20">
      <c r="A147" s="422">
        <v>128</v>
      </c>
      <c r="B147" s="423" t="e">
        <f t="shared" si="2"/>
        <v>#DIV/0!</v>
      </c>
      <c r="C147" s="424"/>
      <c r="D147" s="425"/>
      <c r="E147" s="429"/>
      <c r="F147" s="426">
        <v>128</v>
      </c>
      <c r="G147" s="427"/>
      <c r="H147" s="428"/>
      <c r="I147" s="427"/>
      <c r="J147" s="428"/>
      <c r="K147" s="427"/>
      <c r="L147" s="428"/>
      <c r="M147" s="388"/>
      <c r="N147" s="449"/>
      <c r="O147" s="449"/>
      <c r="P147" s="433"/>
      <c r="Q147" s="450"/>
      <c r="R147" s="450"/>
      <c r="S147" s="450"/>
      <c r="T147" s="450"/>
    </row>
    <row r="148" ht="15.95" customHeight="1" spans="1:20">
      <c r="A148" s="422">
        <v>129</v>
      </c>
      <c r="B148" s="423" t="e">
        <f t="shared" ref="B148:B211" si="3">AVERAGE(G148:L148)</f>
        <v>#DIV/0!</v>
      </c>
      <c r="C148" s="424"/>
      <c r="D148" s="425"/>
      <c r="E148" s="429"/>
      <c r="F148" s="426">
        <v>129</v>
      </c>
      <c r="G148" s="427"/>
      <c r="H148" s="428"/>
      <c r="I148" s="427"/>
      <c r="J148" s="428"/>
      <c r="K148" s="427"/>
      <c r="L148" s="428"/>
      <c r="M148" s="387"/>
      <c r="N148" s="432"/>
      <c r="O148" s="432"/>
      <c r="P148" s="433"/>
      <c r="Q148" s="450"/>
      <c r="R148" s="450"/>
      <c r="S148" s="450"/>
      <c r="T148" s="450"/>
    </row>
    <row r="149" ht="15.95" customHeight="1" spans="1:13">
      <c r="A149" s="422">
        <v>130</v>
      </c>
      <c r="B149" s="423" t="e">
        <f t="shared" si="3"/>
        <v>#DIV/0!</v>
      </c>
      <c r="C149" s="424"/>
      <c r="D149" s="425"/>
      <c r="E149" s="429"/>
      <c r="F149" s="426">
        <v>130</v>
      </c>
      <c r="G149" s="427"/>
      <c r="H149" s="428"/>
      <c r="I149" s="427"/>
      <c r="J149" s="428"/>
      <c r="K149" s="427"/>
      <c r="L149" s="428"/>
      <c r="M149"/>
    </row>
    <row r="150" ht="15.95" customHeight="1" spans="1:12">
      <c r="A150" s="422">
        <v>131</v>
      </c>
      <c r="B150" s="423" t="e">
        <f t="shared" si="3"/>
        <v>#DIV/0!</v>
      </c>
      <c r="C150" s="424"/>
      <c r="D150" s="425"/>
      <c r="E150" s="429"/>
      <c r="F150" s="426">
        <v>131</v>
      </c>
      <c r="G150" s="427"/>
      <c r="H150" s="428"/>
      <c r="I150" s="427"/>
      <c r="J150" s="428"/>
      <c r="K150" s="427"/>
      <c r="L150" s="428"/>
    </row>
    <row r="151" ht="15.95" customHeight="1" spans="1:12">
      <c r="A151" s="422">
        <v>132</v>
      </c>
      <c r="B151" s="423" t="e">
        <f t="shared" si="3"/>
        <v>#DIV/0!</v>
      </c>
      <c r="C151" s="424"/>
      <c r="D151" s="425"/>
      <c r="E151" s="429"/>
      <c r="F151" s="426">
        <v>132</v>
      </c>
      <c r="G151" s="427"/>
      <c r="H151" s="428"/>
      <c r="I151" s="427"/>
      <c r="J151" s="428"/>
      <c r="K151" s="427"/>
      <c r="L151" s="428"/>
    </row>
    <row r="152" ht="15.95" customHeight="1" spans="1:12">
      <c r="A152" s="422">
        <v>133</v>
      </c>
      <c r="B152" s="423" t="e">
        <f t="shared" si="3"/>
        <v>#DIV/0!</v>
      </c>
      <c r="C152" s="424"/>
      <c r="D152" s="425"/>
      <c r="E152" s="429"/>
      <c r="F152" s="426">
        <v>133</v>
      </c>
      <c r="G152" s="427"/>
      <c r="H152" s="428"/>
      <c r="I152" s="427"/>
      <c r="J152" s="428"/>
      <c r="K152" s="427"/>
      <c r="L152" s="428"/>
    </row>
    <row r="153" ht="15.95" customHeight="1" spans="1:12">
      <c r="A153" s="422">
        <v>134</v>
      </c>
      <c r="B153" s="423" t="e">
        <f t="shared" si="3"/>
        <v>#DIV/0!</v>
      </c>
      <c r="C153" s="424"/>
      <c r="D153" s="425"/>
      <c r="E153" s="429"/>
      <c r="F153" s="426">
        <v>134</v>
      </c>
      <c r="G153" s="427"/>
      <c r="H153" s="428"/>
      <c r="I153" s="427"/>
      <c r="J153" s="428"/>
      <c r="K153" s="427"/>
      <c r="L153" s="428"/>
    </row>
    <row r="154" ht="15.95" customHeight="1" spans="1:12">
      <c r="A154" s="422">
        <v>135</v>
      </c>
      <c r="B154" s="423" t="e">
        <f t="shared" si="3"/>
        <v>#DIV/0!</v>
      </c>
      <c r="C154" s="424"/>
      <c r="D154" s="425"/>
      <c r="E154" s="429"/>
      <c r="F154" s="426">
        <v>135</v>
      </c>
      <c r="G154" s="427"/>
      <c r="H154" s="428"/>
      <c r="I154" s="427"/>
      <c r="J154" s="428"/>
      <c r="K154" s="427"/>
      <c r="L154" s="428"/>
    </row>
    <row r="155" ht="15.95" customHeight="1" spans="1:12">
      <c r="A155" s="422">
        <v>136</v>
      </c>
      <c r="B155" s="423" t="e">
        <f t="shared" si="3"/>
        <v>#DIV/0!</v>
      </c>
      <c r="C155" s="424"/>
      <c r="D155" s="425"/>
      <c r="E155" s="429"/>
      <c r="F155" s="426">
        <v>136</v>
      </c>
      <c r="G155" s="427"/>
      <c r="H155" s="428"/>
      <c r="I155" s="427"/>
      <c r="J155" s="428"/>
      <c r="K155" s="427"/>
      <c r="L155" s="428"/>
    </row>
    <row r="156" ht="15.95" customHeight="1" spans="1:12">
      <c r="A156" s="422">
        <v>137</v>
      </c>
      <c r="B156" s="423" t="e">
        <f t="shared" si="3"/>
        <v>#DIV/0!</v>
      </c>
      <c r="C156" s="424"/>
      <c r="D156" s="425"/>
      <c r="E156" s="429"/>
      <c r="F156" s="426">
        <v>137</v>
      </c>
      <c r="G156" s="427"/>
      <c r="H156" s="428"/>
      <c r="I156" s="427"/>
      <c r="J156" s="428"/>
      <c r="K156" s="427"/>
      <c r="L156" s="428"/>
    </row>
    <row r="157" ht="15.95" customHeight="1" spans="1:12">
      <c r="A157" s="422">
        <v>138</v>
      </c>
      <c r="B157" s="423" t="e">
        <f t="shared" si="3"/>
        <v>#DIV/0!</v>
      </c>
      <c r="C157" s="424"/>
      <c r="D157" s="425"/>
      <c r="E157" s="429"/>
      <c r="F157" s="426">
        <v>138</v>
      </c>
      <c r="G157" s="427"/>
      <c r="H157" s="428"/>
      <c r="I157" s="427"/>
      <c r="J157" s="428"/>
      <c r="K157" s="427"/>
      <c r="L157" s="428"/>
    </row>
    <row r="158" ht="15.95" customHeight="1" spans="1:12">
      <c r="A158" s="422">
        <v>139</v>
      </c>
      <c r="B158" s="423" t="e">
        <f t="shared" si="3"/>
        <v>#DIV/0!</v>
      </c>
      <c r="C158" s="424"/>
      <c r="D158" s="425"/>
      <c r="E158" s="429"/>
      <c r="F158" s="426">
        <v>139</v>
      </c>
      <c r="G158" s="427"/>
      <c r="H158" s="428"/>
      <c r="I158" s="427"/>
      <c r="J158" s="428"/>
      <c r="K158" s="427"/>
      <c r="L158" s="428"/>
    </row>
    <row r="159" ht="15.95" customHeight="1" spans="1:12">
      <c r="A159" s="422">
        <v>140</v>
      </c>
      <c r="B159" s="423" t="e">
        <f t="shared" si="3"/>
        <v>#DIV/0!</v>
      </c>
      <c r="C159" s="424"/>
      <c r="D159" s="425"/>
      <c r="E159" s="429"/>
      <c r="F159" s="426">
        <v>140</v>
      </c>
      <c r="G159" s="427"/>
      <c r="H159" s="428"/>
      <c r="I159" s="427"/>
      <c r="J159" s="428"/>
      <c r="K159" s="427"/>
      <c r="L159" s="428"/>
    </row>
    <row r="160" ht="15.95" customHeight="1" spans="1:12">
      <c r="A160" s="422">
        <v>141</v>
      </c>
      <c r="B160" s="423" t="e">
        <f t="shared" si="3"/>
        <v>#DIV/0!</v>
      </c>
      <c r="C160" s="424"/>
      <c r="D160" s="425"/>
      <c r="E160" s="429"/>
      <c r="F160" s="426">
        <v>141</v>
      </c>
      <c r="G160" s="427"/>
      <c r="H160" s="428"/>
      <c r="I160" s="427"/>
      <c r="J160" s="428"/>
      <c r="K160" s="427"/>
      <c r="L160" s="428"/>
    </row>
    <row r="161" ht="15.95" customHeight="1" spans="1:12">
      <c r="A161" s="422">
        <v>142</v>
      </c>
      <c r="B161" s="423" t="e">
        <f t="shared" si="3"/>
        <v>#DIV/0!</v>
      </c>
      <c r="C161" s="424"/>
      <c r="D161" s="425"/>
      <c r="E161" s="429"/>
      <c r="F161" s="426">
        <v>142</v>
      </c>
      <c r="G161" s="427"/>
      <c r="H161" s="428"/>
      <c r="I161" s="427"/>
      <c r="J161" s="428"/>
      <c r="K161" s="427"/>
      <c r="L161" s="428"/>
    </row>
    <row r="162" ht="15.95" customHeight="1" spans="1:12">
      <c r="A162" s="422">
        <v>143</v>
      </c>
      <c r="B162" s="423" t="e">
        <f t="shared" si="3"/>
        <v>#DIV/0!</v>
      </c>
      <c r="C162" s="424"/>
      <c r="D162" s="425"/>
      <c r="E162" s="429"/>
      <c r="F162" s="426">
        <v>143</v>
      </c>
      <c r="G162" s="427"/>
      <c r="H162" s="428"/>
      <c r="I162" s="427"/>
      <c r="J162" s="428"/>
      <c r="K162" s="427"/>
      <c r="L162" s="428"/>
    </row>
    <row r="163" ht="15.95" customHeight="1" spans="1:12">
      <c r="A163" s="422">
        <v>144</v>
      </c>
      <c r="B163" s="423" t="e">
        <f t="shared" si="3"/>
        <v>#DIV/0!</v>
      </c>
      <c r="C163" s="424"/>
      <c r="D163" s="425"/>
      <c r="E163" s="429"/>
      <c r="F163" s="426">
        <v>144</v>
      </c>
      <c r="G163" s="427"/>
      <c r="H163" s="428"/>
      <c r="I163" s="427"/>
      <c r="J163" s="428"/>
      <c r="K163" s="427"/>
      <c r="L163" s="428"/>
    </row>
    <row r="164" ht="15.95" customHeight="1" spans="1:12">
      <c r="A164" s="422">
        <v>145</v>
      </c>
      <c r="B164" s="423" t="e">
        <f t="shared" si="3"/>
        <v>#DIV/0!</v>
      </c>
      <c r="C164" s="424"/>
      <c r="D164" s="425"/>
      <c r="E164" s="429"/>
      <c r="F164" s="426">
        <v>145</v>
      </c>
      <c r="G164" s="427"/>
      <c r="H164" s="428"/>
      <c r="I164" s="427"/>
      <c r="J164" s="428"/>
      <c r="K164" s="427"/>
      <c r="L164" s="428"/>
    </row>
    <row r="165" ht="15.95" customHeight="1" spans="1:12">
      <c r="A165" s="422">
        <v>146</v>
      </c>
      <c r="B165" s="423" t="e">
        <f t="shared" si="3"/>
        <v>#DIV/0!</v>
      </c>
      <c r="C165" s="424"/>
      <c r="D165" s="425"/>
      <c r="E165" s="429"/>
      <c r="F165" s="426">
        <v>146</v>
      </c>
      <c r="G165" s="427"/>
      <c r="H165" s="428"/>
      <c r="I165" s="427"/>
      <c r="J165" s="428"/>
      <c r="K165" s="427"/>
      <c r="L165" s="428"/>
    </row>
    <row r="166" ht="15.95" customHeight="1" spans="1:12">
      <c r="A166" s="422">
        <v>147</v>
      </c>
      <c r="B166" s="423" t="e">
        <f t="shared" si="3"/>
        <v>#DIV/0!</v>
      </c>
      <c r="C166" s="424"/>
      <c r="D166" s="425"/>
      <c r="E166" s="429"/>
      <c r="F166" s="426">
        <v>147</v>
      </c>
      <c r="G166" s="427"/>
      <c r="H166" s="428"/>
      <c r="I166" s="427"/>
      <c r="J166" s="428"/>
      <c r="K166" s="427"/>
      <c r="L166" s="428"/>
    </row>
    <row r="167" ht="15.95" customHeight="1" spans="1:12">
      <c r="A167" s="422">
        <v>148</v>
      </c>
      <c r="B167" s="423" t="e">
        <f t="shared" si="3"/>
        <v>#DIV/0!</v>
      </c>
      <c r="C167" s="424"/>
      <c r="D167" s="425"/>
      <c r="E167" s="429"/>
      <c r="F167" s="426">
        <v>148</v>
      </c>
      <c r="G167" s="427"/>
      <c r="H167" s="428"/>
      <c r="I167" s="427"/>
      <c r="J167" s="428"/>
      <c r="K167" s="427"/>
      <c r="L167" s="428"/>
    </row>
    <row r="168" ht="15.95" customHeight="1" spans="1:12">
      <c r="A168" s="422">
        <v>149</v>
      </c>
      <c r="B168" s="423" t="e">
        <f t="shared" si="3"/>
        <v>#DIV/0!</v>
      </c>
      <c r="C168" s="424"/>
      <c r="D168" s="425"/>
      <c r="E168" s="429"/>
      <c r="F168" s="426">
        <v>149</v>
      </c>
      <c r="G168" s="427"/>
      <c r="H168" s="428"/>
      <c r="I168" s="427"/>
      <c r="J168" s="428"/>
      <c r="K168" s="427"/>
      <c r="L168" s="428"/>
    </row>
    <row r="169" ht="15.95" customHeight="1" spans="1:12">
      <c r="A169" s="422">
        <v>150</v>
      </c>
      <c r="B169" s="423" t="e">
        <f t="shared" si="3"/>
        <v>#DIV/0!</v>
      </c>
      <c r="C169" s="424"/>
      <c r="D169" s="425"/>
      <c r="E169" s="429"/>
      <c r="F169" s="426">
        <v>150</v>
      </c>
      <c r="G169" s="427"/>
      <c r="H169" s="428"/>
      <c r="I169" s="427"/>
      <c r="J169" s="428"/>
      <c r="K169" s="427"/>
      <c r="L169" s="428"/>
    </row>
    <row r="170" ht="15.95" customHeight="1" spans="1:12">
      <c r="A170" s="422">
        <v>151</v>
      </c>
      <c r="B170" s="423" t="e">
        <f t="shared" si="3"/>
        <v>#DIV/0!</v>
      </c>
      <c r="C170" s="424"/>
      <c r="D170" s="425"/>
      <c r="E170" s="429"/>
      <c r="F170" s="426">
        <v>151</v>
      </c>
      <c r="G170" s="427"/>
      <c r="H170" s="428"/>
      <c r="I170" s="427"/>
      <c r="J170" s="428"/>
      <c r="K170" s="427"/>
      <c r="L170" s="428"/>
    </row>
    <row r="171" ht="15.95" customHeight="1" spans="1:12">
      <c r="A171" s="422">
        <v>152</v>
      </c>
      <c r="B171" s="423" t="e">
        <f t="shared" si="3"/>
        <v>#DIV/0!</v>
      </c>
      <c r="C171" s="424"/>
      <c r="D171" s="425"/>
      <c r="E171" s="429"/>
      <c r="F171" s="426">
        <v>152</v>
      </c>
      <c r="G171" s="427"/>
      <c r="H171" s="428"/>
      <c r="I171" s="427"/>
      <c r="J171" s="428"/>
      <c r="K171" s="427"/>
      <c r="L171" s="428"/>
    </row>
    <row r="172" ht="15.95" customHeight="1" spans="1:12">
      <c r="A172" s="422">
        <v>153</v>
      </c>
      <c r="B172" s="423" t="e">
        <f t="shared" si="3"/>
        <v>#DIV/0!</v>
      </c>
      <c r="C172" s="424"/>
      <c r="D172" s="425"/>
      <c r="E172" s="429"/>
      <c r="F172" s="426">
        <v>153</v>
      </c>
      <c r="G172" s="427"/>
      <c r="H172" s="428"/>
      <c r="I172" s="427"/>
      <c r="J172" s="428"/>
      <c r="K172" s="427"/>
      <c r="L172" s="428"/>
    </row>
    <row r="173" ht="15.95" customHeight="1" spans="1:12">
      <c r="A173" s="422">
        <v>154</v>
      </c>
      <c r="B173" s="423" t="e">
        <f t="shared" si="3"/>
        <v>#DIV/0!</v>
      </c>
      <c r="C173" s="424"/>
      <c r="D173" s="425"/>
      <c r="E173" s="429"/>
      <c r="F173" s="426">
        <v>154</v>
      </c>
      <c r="G173" s="427"/>
      <c r="H173" s="428"/>
      <c r="I173" s="427"/>
      <c r="J173" s="428"/>
      <c r="K173" s="427"/>
      <c r="L173" s="428"/>
    </row>
    <row r="174" ht="15.95" customHeight="1" spans="1:12">
      <c r="A174" s="422">
        <v>155</v>
      </c>
      <c r="B174" s="423" t="e">
        <f t="shared" si="3"/>
        <v>#DIV/0!</v>
      </c>
      <c r="C174" s="424"/>
      <c r="D174" s="425"/>
      <c r="E174" s="429"/>
      <c r="F174" s="426">
        <v>155</v>
      </c>
      <c r="G174" s="427"/>
      <c r="H174" s="428"/>
      <c r="I174" s="427"/>
      <c r="J174" s="428"/>
      <c r="K174" s="427"/>
      <c r="L174" s="428"/>
    </row>
    <row r="175" ht="15.95" customHeight="1" spans="1:12">
      <c r="A175" s="422">
        <v>156</v>
      </c>
      <c r="B175" s="423" t="e">
        <f t="shared" si="3"/>
        <v>#DIV/0!</v>
      </c>
      <c r="C175" s="424"/>
      <c r="D175" s="425"/>
      <c r="E175" s="429"/>
      <c r="F175" s="426">
        <v>156</v>
      </c>
      <c r="G175" s="427"/>
      <c r="H175" s="428"/>
      <c r="I175" s="427"/>
      <c r="J175" s="428"/>
      <c r="K175" s="427"/>
      <c r="L175" s="428"/>
    </row>
    <row r="176" ht="15.95" customHeight="1" spans="1:12">
      <c r="A176" s="422">
        <v>157</v>
      </c>
      <c r="B176" s="423" t="e">
        <f t="shared" si="3"/>
        <v>#DIV/0!</v>
      </c>
      <c r="C176" s="424"/>
      <c r="D176" s="425"/>
      <c r="E176" s="429"/>
      <c r="F176" s="426">
        <v>157</v>
      </c>
      <c r="G176" s="427"/>
      <c r="H176" s="428"/>
      <c r="I176" s="427"/>
      <c r="J176" s="428"/>
      <c r="K176" s="427"/>
      <c r="L176" s="428"/>
    </row>
    <row r="177" ht="15.95" customHeight="1" spans="1:12">
      <c r="A177" s="422">
        <v>158</v>
      </c>
      <c r="B177" s="423" t="e">
        <f t="shared" si="3"/>
        <v>#DIV/0!</v>
      </c>
      <c r="C177" s="424"/>
      <c r="D177" s="425"/>
      <c r="E177" s="429"/>
      <c r="F177" s="426">
        <v>158</v>
      </c>
      <c r="G177" s="427"/>
      <c r="H177" s="428"/>
      <c r="I177" s="427"/>
      <c r="J177" s="428"/>
      <c r="K177" s="427"/>
      <c r="L177" s="428"/>
    </row>
    <row r="178" ht="15.95" customHeight="1" spans="1:12">
      <c r="A178" s="422">
        <v>159</v>
      </c>
      <c r="B178" s="423" t="e">
        <f t="shared" si="3"/>
        <v>#DIV/0!</v>
      </c>
      <c r="C178" s="424"/>
      <c r="D178" s="425"/>
      <c r="E178" s="429"/>
      <c r="F178" s="426">
        <v>159</v>
      </c>
      <c r="G178" s="427"/>
      <c r="H178" s="428"/>
      <c r="I178" s="427"/>
      <c r="J178" s="428"/>
      <c r="K178" s="427"/>
      <c r="L178" s="428"/>
    </row>
    <row r="179" ht="15.95" customHeight="1" spans="1:12">
      <c r="A179" s="422">
        <v>160</v>
      </c>
      <c r="B179" s="423" t="e">
        <f t="shared" si="3"/>
        <v>#DIV/0!</v>
      </c>
      <c r="C179" s="424"/>
      <c r="D179" s="425"/>
      <c r="E179" s="429"/>
      <c r="F179" s="426">
        <v>160</v>
      </c>
      <c r="G179" s="427"/>
      <c r="H179" s="428"/>
      <c r="I179" s="427"/>
      <c r="J179" s="428"/>
      <c r="K179" s="427"/>
      <c r="L179" s="428"/>
    </row>
    <row r="180" ht="15.95" customHeight="1" spans="1:12">
      <c r="A180" s="422">
        <v>161</v>
      </c>
      <c r="B180" s="423" t="e">
        <f t="shared" si="3"/>
        <v>#DIV/0!</v>
      </c>
      <c r="C180" s="424"/>
      <c r="D180" s="425"/>
      <c r="E180" s="429"/>
      <c r="F180" s="426">
        <v>161</v>
      </c>
      <c r="G180" s="427"/>
      <c r="H180" s="428"/>
      <c r="I180" s="427"/>
      <c r="J180" s="428"/>
      <c r="K180" s="427"/>
      <c r="L180" s="428"/>
    </row>
    <row r="181" ht="15.95" customHeight="1" spans="1:12">
      <c r="A181" s="422">
        <v>162</v>
      </c>
      <c r="B181" s="423" t="e">
        <f t="shared" si="3"/>
        <v>#DIV/0!</v>
      </c>
      <c r="C181" s="424"/>
      <c r="D181" s="425"/>
      <c r="E181" s="429"/>
      <c r="F181" s="426">
        <v>162</v>
      </c>
      <c r="G181" s="427"/>
      <c r="H181" s="428"/>
      <c r="I181" s="427"/>
      <c r="J181" s="428"/>
      <c r="K181" s="427"/>
      <c r="L181" s="428"/>
    </row>
    <row r="182" ht="15.95" customHeight="1" spans="1:12">
      <c r="A182" s="422">
        <v>163</v>
      </c>
      <c r="B182" s="423" t="e">
        <f t="shared" si="3"/>
        <v>#DIV/0!</v>
      </c>
      <c r="C182" s="424"/>
      <c r="D182" s="425"/>
      <c r="E182" s="429"/>
      <c r="F182" s="426">
        <v>163</v>
      </c>
      <c r="G182" s="427"/>
      <c r="H182" s="428"/>
      <c r="I182" s="427"/>
      <c r="J182" s="428"/>
      <c r="K182" s="427"/>
      <c r="L182" s="428"/>
    </row>
    <row r="183" ht="15.95" customHeight="1" spans="1:12">
      <c r="A183" s="422">
        <v>164</v>
      </c>
      <c r="B183" s="423" t="e">
        <f t="shared" si="3"/>
        <v>#DIV/0!</v>
      </c>
      <c r="C183" s="424"/>
      <c r="D183" s="425"/>
      <c r="E183" s="429"/>
      <c r="F183" s="426">
        <v>164</v>
      </c>
      <c r="G183" s="427"/>
      <c r="H183" s="428"/>
      <c r="I183" s="427"/>
      <c r="J183" s="428"/>
      <c r="K183" s="427"/>
      <c r="L183" s="428"/>
    </row>
    <row r="184" ht="15.95" customHeight="1" spans="1:12">
      <c r="A184" s="422">
        <v>165</v>
      </c>
      <c r="B184" s="423" t="e">
        <f t="shared" si="3"/>
        <v>#DIV/0!</v>
      </c>
      <c r="C184" s="424"/>
      <c r="D184" s="425"/>
      <c r="E184" s="429"/>
      <c r="F184" s="426">
        <v>165</v>
      </c>
      <c r="G184" s="427"/>
      <c r="H184" s="428"/>
      <c r="I184" s="427"/>
      <c r="J184" s="428"/>
      <c r="K184" s="427"/>
      <c r="L184" s="428"/>
    </row>
    <row r="185" ht="15.95" customHeight="1" spans="1:12">
      <c r="A185" s="422">
        <v>166</v>
      </c>
      <c r="B185" s="423" t="e">
        <f t="shared" si="3"/>
        <v>#DIV/0!</v>
      </c>
      <c r="C185" s="424"/>
      <c r="D185" s="425"/>
      <c r="E185" s="429"/>
      <c r="F185" s="426">
        <v>166</v>
      </c>
      <c r="G185" s="427"/>
      <c r="H185" s="428"/>
      <c r="I185" s="427"/>
      <c r="J185" s="428"/>
      <c r="K185" s="427"/>
      <c r="L185" s="428"/>
    </row>
    <row r="186" ht="15.95" customHeight="1" spans="1:12">
      <c r="A186" s="422">
        <v>167</v>
      </c>
      <c r="B186" s="423" t="e">
        <f t="shared" si="3"/>
        <v>#DIV/0!</v>
      </c>
      <c r="C186" s="424"/>
      <c r="D186" s="425"/>
      <c r="E186" s="429"/>
      <c r="F186" s="426">
        <v>167</v>
      </c>
      <c r="G186" s="427"/>
      <c r="H186" s="428"/>
      <c r="I186" s="427"/>
      <c r="J186" s="428"/>
      <c r="K186" s="427"/>
      <c r="L186" s="428"/>
    </row>
    <row r="187" ht="15.95" customHeight="1" spans="1:12">
      <c r="A187" s="422">
        <v>168</v>
      </c>
      <c r="B187" s="423" t="e">
        <f t="shared" si="3"/>
        <v>#DIV/0!</v>
      </c>
      <c r="C187" s="424"/>
      <c r="D187" s="425"/>
      <c r="E187" s="429"/>
      <c r="F187" s="426">
        <v>168</v>
      </c>
      <c r="G187" s="427"/>
      <c r="H187" s="428"/>
      <c r="I187" s="427"/>
      <c r="J187" s="428"/>
      <c r="K187" s="427"/>
      <c r="L187" s="428"/>
    </row>
    <row r="188" ht="15.95" customHeight="1" spans="1:12">
      <c r="A188" s="422">
        <v>169</v>
      </c>
      <c r="B188" s="423" t="e">
        <f t="shared" si="3"/>
        <v>#DIV/0!</v>
      </c>
      <c r="C188" s="424"/>
      <c r="D188" s="425"/>
      <c r="E188" s="429"/>
      <c r="F188" s="426">
        <v>169</v>
      </c>
      <c r="G188" s="427"/>
      <c r="H188" s="428"/>
      <c r="I188" s="427"/>
      <c r="J188" s="428"/>
      <c r="K188" s="427"/>
      <c r="L188" s="428"/>
    </row>
    <row r="189" ht="15.95" customHeight="1" spans="1:12">
      <c r="A189" s="422">
        <v>170</v>
      </c>
      <c r="B189" s="423" t="e">
        <f t="shared" si="3"/>
        <v>#DIV/0!</v>
      </c>
      <c r="C189" s="424"/>
      <c r="D189" s="425"/>
      <c r="E189" s="429"/>
      <c r="F189" s="426">
        <v>170</v>
      </c>
      <c r="G189" s="427"/>
      <c r="H189" s="428"/>
      <c r="I189" s="427"/>
      <c r="J189" s="428"/>
      <c r="K189" s="427"/>
      <c r="L189" s="428"/>
    </row>
    <row r="190" ht="15.95" customHeight="1" spans="1:12">
      <c r="A190" s="422">
        <v>171</v>
      </c>
      <c r="B190" s="423" t="e">
        <f t="shared" si="3"/>
        <v>#DIV/0!</v>
      </c>
      <c r="C190" s="424"/>
      <c r="D190" s="425"/>
      <c r="E190" s="429"/>
      <c r="F190" s="426">
        <v>171</v>
      </c>
      <c r="G190" s="427"/>
      <c r="H190" s="428"/>
      <c r="I190" s="427"/>
      <c r="J190" s="428"/>
      <c r="K190" s="427"/>
      <c r="L190" s="428"/>
    </row>
    <row r="191" ht="15.95" customHeight="1" spans="1:12">
      <c r="A191" s="422">
        <v>172</v>
      </c>
      <c r="B191" s="423" t="e">
        <f t="shared" si="3"/>
        <v>#DIV/0!</v>
      </c>
      <c r="C191" s="424"/>
      <c r="D191" s="425"/>
      <c r="E191" s="429"/>
      <c r="F191" s="426">
        <v>172</v>
      </c>
      <c r="G191" s="427"/>
      <c r="H191" s="428"/>
      <c r="I191" s="427"/>
      <c r="J191" s="428"/>
      <c r="K191" s="427"/>
      <c r="L191" s="428"/>
    </row>
    <row r="192" ht="15.95" customHeight="1" spans="1:12">
      <c r="A192" s="422">
        <v>173</v>
      </c>
      <c r="B192" s="423" t="e">
        <f t="shared" si="3"/>
        <v>#DIV/0!</v>
      </c>
      <c r="C192" s="424"/>
      <c r="D192" s="425"/>
      <c r="E192" s="429"/>
      <c r="F192" s="426">
        <v>173</v>
      </c>
      <c r="G192" s="427"/>
      <c r="H192" s="428"/>
      <c r="I192" s="427"/>
      <c r="J192" s="428"/>
      <c r="K192" s="427"/>
      <c r="L192" s="428"/>
    </row>
    <row r="193" ht="15.95" customHeight="1" spans="1:12">
      <c r="A193" s="422">
        <v>174</v>
      </c>
      <c r="B193" s="423" t="e">
        <f t="shared" si="3"/>
        <v>#DIV/0!</v>
      </c>
      <c r="C193" s="424"/>
      <c r="D193" s="425"/>
      <c r="E193" s="429"/>
      <c r="F193" s="426">
        <v>174</v>
      </c>
      <c r="G193" s="427"/>
      <c r="H193" s="428"/>
      <c r="I193" s="427"/>
      <c r="J193" s="428"/>
      <c r="K193" s="427"/>
      <c r="L193" s="428"/>
    </row>
    <row r="194" ht="15.95" customHeight="1" spans="1:12">
      <c r="A194" s="422">
        <v>175</v>
      </c>
      <c r="B194" s="423" t="e">
        <f t="shared" si="3"/>
        <v>#DIV/0!</v>
      </c>
      <c r="C194" s="424"/>
      <c r="D194" s="425"/>
      <c r="E194" s="429"/>
      <c r="F194" s="426">
        <v>175</v>
      </c>
      <c r="G194" s="427"/>
      <c r="H194" s="428"/>
      <c r="I194" s="427"/>
      <c r="J194" s="428"/>
      <c r="K194" s="427"/>
      <c r="L194" s="428"/>
    </row>
    <row r="195" ht="15.95" customHeight="1" spans="1:12">
      <c r="A195" s="422">
        <v>176</v>
      </c>
      <c r="B195" s="423" t="e">
        <f t="shared" si="3"/>
        <v>#DIV/0!</v>
      </c>
      <c r="C195" s="424"/>
      <c r="D195" s="425"/>
      <c r="E195" s="429"/>
      <c r="F195" s="426">
        <v>176</v>
      </c>
      <c r="G195" s="427"/>
      <c r="H195" s="428"/>
      <c r="I195" s="427"/>
      <c r="J195" s="428"/>
      <c r="K195" s="427"/>
      <c r="L195" s="428"/>
    </row>
    <row r="196" ht="15.95" customHeight="1" spans="1:12">
      <c r="A196" s="422">
        <v>177</v>
      </c>
      <c r="B196" s="423" t="e">
        <f t="shared" si="3"/>
        <v>#DIV/0!</v>
      </c>
      <c r="C196" s="424"/>
      <c r="D196" s="425"/>
      <c r="E196" s="429"/>
      <c r="F196" s="426">
        <v>177</v>
      </c>
      <c r="G196" s="427"/>
      <c r="H196" s="428"/>
      <c r="I196" s="427"/>
      <c r="J196" s="428"/>
      <c r="K196" s="427"/>
      <c r="L196" s="428"/>
    </row>
    <row r="197" ht="15.95" customHeight="1" spans="1:12">
      <c r="A197" s="422">
        <v>178</v>
      </c>
      <c r="B197" s="423" t="e">
        <f t="shared" si="3"/>
        <v>#DIV/0!</v>
      </c>
      <c r="C197" s="424"/>
      <c r="D197" s="425"/>
      <c r="E197" s="429"/>
      <c r="F197" s="426">
        <v>178</v>
      </c>
      <c r="G197" s="427"/>
      <c r="H197" s="428"/>
      <c r="I197" s="427"/>
      <c r="J197" s="428"/>
      <c r="K197" s="427"/>
      <c r="L197" s="428"/>
    </row>
    <row r="198" ht="15.95" customHeight="1" spans="1:12">
      <c r="A198" s="422">
        <v>179</v>
      </c>
      <c r="B198" s="423" t="e">
        <f t="shared" si="3"/>
        <v>#DIV/0!</v>
      </c>
      <c r="C198" s="424"/>
      <c r="D198" s="425"/>
      <c r="E198" s="429"/>
      <c r="F198" s="426">
        <v>179</v>
      </c>
      <c r="G198" s="427"/>
      <c r="H198" s="428"/>
      <c r="I198" s="427"/>
      <c r="J198" s="428"/>
      <c r="K198" s="427"/>
      <c r="L198" s="428"/>
    </row>
    <row r="199" ht="15.95" customHeight="1" spans="1:12">
      <c r="A199" s="422">
        <v>180</v>
      </c>
      <c r="B199" s="423" t="e">
        <f t="shared" si="3"/>
        <v>#DIV/0!</v>
      </c>
      <c r="C199" s="424"/>
      <c r="D199" s="425"/>
      <c r="E199" s="429"/>
      <c r="F199" s="426">
        <v>180</v>
      </c>
      <c r="G199" s="427"/>
      <c r="H199" s="428"/>
      <c r="I199" s="427"/>
      <c r="J199" s="428"/>
      <c r="K199" s="427"/>
      <c r="L199" s="428"/>
    </row>
    <row r="200" ht="15.95" customHeight="1" spans="1:12">
      <c r="A200" s="422">
        <v>181</v>
      </c>
      <c r="B200" s="423" t="e">
        <f t="shared" si="3"/>
        <v>#DIV/0!</v>
      </c>
      <c r="C200" s="424"/>
      <c r="D200" s="425"/>
      <c r="E200" s="429"/>
      <c r="F200" s="426">
        <v>181</v>
      </c>
      <c r="G200" s="427"/>
      <c r="H200" s="428"/>
      <c r="I200" s="427"/>
      <c r="J200" s="428"/>
      <c r="K200" s="427"/>
      <c r="L200" s="428"/>
    </row>
    <row r="201" ht="15.95" customHeight="1" spans="1:12">
      <c r="A201" s="422">
        <v>182</v>
      </c>
      <c r="B201" s="423" t="e">
        <f t="shared" si="3"/>
        <v>#DIV/0!</v>
      </c>
      <c r="C201" s="424"/>
      <c r="D201" s="425"/>
      <c r="E201" s="429"/>
      <c r="F201" s="426">
        <v>182</v>
      </c>
      <c r="G201" s="427"/>
      <c r="H201" s="428"/>
      <c r="I201" s="427"/>
      <c r="J201" s="428"/>
      <c r="K201" s="427"/>
      <c r="L201" s="428"/>
    </row>
    <row r="202" ht="15.95" customHeight="1" spans="1:12">
      <c r="A202" s="422">
        <v>183</v>
      </c>
      <c r="B202" s="423" t="e">
        <f t="shared" si="3"/>
        <v>#DIV/0!</v>
      </c>
      <c r="C202" s="424"/>
      <c r="D202" s="425"/>
      <c r="E202" s="429"/>
      <c r="F202" s="426">
        <v>183</v>
      </c>
      <c r="G202" s="427"/>
      <c r="H202" s="428"/>
      <c r="I202" s="427"/>
      <c r="J202" s="428"/>
      <c r="K202" s="427"/>
      <c r="L202" s="428"/>
    </row>
    <row r="203" ht="15.95" customHeight="1" spans="1:12">
      <c r="A203" s="422">
        <v>184</v>
      </c>
      <c r="B203" s="423" t="e">
        <f t="shared" si="3"/>
        <v>#DIV/0!</v>
      </c>
      <c r="C203" s="424"/>
      <c r="D203" s="425"/>
      <c r="E203" s="429"/>
      <c r="F203" s="426">
        <v>184</v>
      </c>
      <c r="G203" s="427"/>
      <c r="H203" s="428"/>
      <c r="I203" s="427"/>
      <c r="J203" s="428"/>
      <c r="K203" s="427"/>
      <c r="L203" s="428"/>
    </row>
    <row r="204" ht="15.95" customHeight="1" spans="1:12">
      <c r="A204" s="422">
        <v>185</v>
      </c>
      <c r="B204" s="423" t="e">
        <f t="shared" si="3"/>
        <v>#DIV/0!</v>
      </c>
      <c r="C204" s="424"/>
      <c r="D204" s="425"/>
      <c r="E204" s="429"/>
      <c r="F204" s="426">
        <v>185</v>
      </c>
      <c r="G204" s="427"/>
      <c r="H204" s="428"/>
      <c r="I204" s="427"/>
      <c r="J204" s="428"/>
      <c r="K204" s="427"/>
      <c r="L204" s="428"/>
    </row>
    <row r="205" ht="15.95" customHeight="1" spans="1:12">
      <c r="A205" s="422">
        <v>186</v>
      </c>
      <c r="B205" s="423" t="e">
        <f t="shared" si="3"/>
        <v>#DIV/0!</v>
      </c>
      <c r="C205" s="424"/>
      <c r="D205" s="425"/>
      <c r="E205" s="429"/>
      <c r="F205" s="426">
        <v>186</v>
      </c>
      <c r="G205" s="427"/>
      <c r="H205" s="428"/>
      <c r="I205" s="427"/>
      <c r="J205" s="428"/>
      <c r="K205" s="427"/>
      <c r="L205" s="428"/>
    </row>
    <row r="206" ht="15.95" customHeight="1" spans="1:12">
      <c r="A206" s="422">
        <v>187</v>
      </c>
      <c r="B206" s="423" t="e">
        <f t="shared" si="3"/>
        <v>#DIV/0!</v>
      </c>
      <c r="C206" s="424"/>
      <c r="D206" s="425"/>
      <c r="E206" s="429"/>
      <c r="F206" s="426">
        <v>187</v>
      </c>
      <c r="G206" s="427"/>
      <c r="H206" s="428"/>
      <c r="I206" s="427"/>
      <c r="J206" s="428"/>
      <c r="K206" s="427"/>
      <c r="L206" s="428"/>
    </row>
    <row r="207" ht="15.95" customHeight="1" spans="1:12">
      <c r="A207" s="422">
        <v>188</v>
      </c>
      <c r="B207" s="423" t="e">
        <f t="shared" si="3"/>
        <v>#DIV/0!</v>
      </c>
      <c r="C207" s="424"/>
      <c r="D207" s="425"/>
      <c r="E207" s="429"/>
      <c r="F207" s="426">
        <v>188</v>
      </c>
      <c r="G207" s="427"/>
      <c r="H207" s="428"/>
      <c r="I207" s="427"/>
      <c r="J207" s="428"/>
      <c r="K207" s="427"/>
      <c r="L207" s="428"/>
    </row>
    <row r="208" ht="15.95" customHeight="1" spans="1:12">
      <c r="A208" s="422">
        <v>189</v>
      </c>
      <c r="B208" s="423" t="e">
        <f t="shared" si="3"/>
        <v>#DIV/0!</v>
      </c>
      <c r="C208" s="424"/>
      <c r="D208" s="425"/>
      <c r="E208" s="429"/>
      <c r="F208" s="426">
        <v>189</v>
      </c>
      <c r="G208" s="427"/>
      <c r="H208" s="428"/>
      <c r="I208" s="427"/>
      <c r="J208" s="428"/>
      <c r="K208" s="427"/>
      <c r="L208" s="428"/>
    </row>
    <row r="209" ht="15.95" customHeight="1" spans="1:12">
      <c r="A209" s="422">
        <v>190</v>
      </c>
      <c r="B209" s="423" t="e">
        <f t="shared" si="3"/>
        <v>#DIV/0!</v>
      </c>
      <c r="C209" s="424"/>
      <c r="D209" s="425"/>
      <c r="E209" s="429"/>
      <c r="F209" s="426">
        <v>190</v>
      </c>
      <c r="G209" s="427"/>
      <c r="H209" s="428"/>
      <c r="I209" s="427"/>
      <c r="J209" s="428"/>
      <c r="K209" s="427"/>
      <c r="L209" s="428"/>
    </row>
    <row r="210" ht="15.95" customHeight="1" spans="1:12">
      <c r="A210" s="422">
        <v>191</v>
      </c>
      <c r="B210" s="423" t="e">
        <f t="shared" si="3"/>
        <v>#DIV/0!</v>
      </c>
      <c r="C210" s="424"/>
      <c r="D210" s="425"/>
      <c r="E210" s="429"/>
      <c r="F210" s="426">
        <v>191</v>
      </c>
      <c r="G210" s="427"/>
      <c r="H210" s="428"/>
      <c r="I210" s="427"/>
      <c r="J210" s="428"/>
      <c r="K210" s="427"/>
      <c r="L210" s="428"/>
    </row>
    <row r="211" ht="15.95" customHeight="1" spans="1:12">
      <c r="A211" s="422">
        <v>192</v>
      </c>
      <c r="B211" s="423" t="e">
        <f t="shared" si="3"/>
        <v>#DIV/0!</v>
      </c>
      <c r="C211" s="424"/>
      <c r="D211" s="425"/>
      <c r="E211" s="429"/>
      <c r="F211" s="426">
        <v>192</v>
      </c>
      <c r="G211" s="427"/>
      <c r="H211" s="428"/>
      <c r="I211" s="427"/>
      <c r="J211" s="428"/>
      <c r="K211" s="427"/>
      <c r="L211" s="428"/>
    </row>
    <row r="212" ht="15.95" customHeight="1" spans="1:12">
      <c r="A212" s="422">
        <v>193</v>
      </c>
      <c r="B212" s="423" t="e">
        <f t="shared" ref="B212:B275" si="4">AVERAGE(G212:L212)</f>
        <v>#DIV/0!</v>
      </c>
      <c r="C212" s="424"/>
      <c r="D212" s="425"/>
      <c r="E212" s="429"/>
      <c r="F212" s="426">
        <v>193</v>
      </c>
      <c r="G212" s="427"/>
      <c r="H212" s="428"/>
      <c r="I212" s="427"/>
      <c r="J212" s="428"/>
      <c r="K212" s="427"/>
      <c r="L212" s="428"/>
    </row>
    <row r="213" ht="15.95" customHeight="1" spans="1:12">
      <c r="A213" s="422">
        <v>194</v>
      </c>
      <c r="B213" s="423" t="e">
        <f t="shared" si="4"/>
        <v>#DIV/0!</v>
      </c>
      <c r="C213" s="424"/>
      <c r="D213" s="425"/>
      <c r="E213" s="429"/>
      <c r="F213" s="426">
        <v>194</v>
      </c>
      <c r="G213" s="427"/>
      <c r="H213" s="428"/>
      <c r="I213" s="427"/>
      <c r="J213" s="428"/>
      <c r="K213" s="427"/>
      <c r="L213" s="428"/>
    </row>
    <row r="214" ht="15.95" customHeight="1" spans="1:12">
      <c r="A214" s="422">
        <v>195</v>
      </c>
      <c r="B214" s="423" t="e">
        <f t="shared" si="4"/>
        <v>#DIV/0!</v>
      </c>
      <c r="C214" s="424"/>
      <c r="D214" s="425"/>
      <c r="E214" s="429"/>
      <c r="F214" s="426">
        <v>195</v>
      </c>
      <c r="G214" s="427"/>
      <c r="H214" s="428"/>
      <c r="I214" s="427"/>
      <c r="J214" s="428"/>
      <c r="K214" s="427"/>
      <c r="L214" s="428"/>
    </row>
    <row r="215" ht="15.95" customHeight="1" spans="1:12">
      <c r="A215" s="422">
        <v>196</v>
      </c>
      <c r="B215" s="423" t="e">
        <f t="shared" si="4"/>
        <v>#DIV/0!</v>
      </c>
      <c r="C215" s="424"/>
      <c r="D215" s="425"/>
      <c r="E215" s="429"/>
      <c r="F215" s="426">
        <v>196</v>
      </c>
      <c r="G215" s="427"/>
      <c r="H215" s="428"/>
      <c r="I215" s="427"/>
      <c r="J215" s="428"/>
      <c r="K215" s="427"/>
      <c r="L215" s="428"/>
    </row>
    <row r="216" ht="15.95" customHeight="1" spans="1:12">
      <c r="A216" s="422">
        <v>197</v>
      </c>
      <c r="B216" s="423" t="e">
        <f t="shared" si="4"/>
        <v>#DIV/0!</v>
      </c>
      <c r="C216" s="424"/>
      <c r="D216" s="425"/>
      <c r="E216" s="429"/>
      <c r="F216" s="426">
        <v>197</v>
      </c>
      <c r="G216" s="427"/>
      <c r="H216" s="428"/>
      <c r="I216" s="427"/>
      <c r="J216" s="428"/>
      <c r="K216" s="427"/>
      <c r="L216" s="428"/>
    </row>
    <row r="217" ht="15.95" customHeight="1" spans="1:12">
      <c r="A217" s="422">
        <v>198</v>
      </c>
      <c r="B217" s="423" t="e">
        <f t="shared" si="4"/>
        <v>#DIV/0!</v>
      </c>
      <c r="C217" s="424"/>
      <c r="D217" s="425"/>
      <c r="E217" s="429"/>
      <c r="F217" s="426">
        <v>198</v>
      </c>
      <c r="G217" s="427"/>
      <c r="H217" s="428"/>
      <c r="I217" s="427"/>
      <c r="J217" s="428"/>
      <c r="K217" s="427"/>
      <c r="L217" s="428"/>
    </row>
    <row r="218" ht="15.95" customHeight="1" spans="1:12">
      <c r="A218" s="422">
        <v>199</v>
      </c>
      <c r="B218" s="423" t="e">
        <f t="shared" si="4"/>
        <v>#DIV/0!</v>
      </c>
      <c r="C218" s="424"/>
      <c r="D218" s="425"/>
      <c r="E218" s="429"/>
      <c r="F218" s="426">
        <v>199</v>
      </c>
      <c r="G218" s="427"/>
      <c r="H218" s="428"/>
      <c r="I218" s="427"/>
      <c r="J218" s="428"/>
      <c r="K218" s="427"/>
      <c r="L218" s="428"/>
    </row>
    <row r="219" ht="15.95" customHeight="1" spans="1:12">
      <c r="A219" s="422">
        <v>200</v>
      </c>
      <c r="B219" s="423" t="e">
        <f t="shared" si="4"/>
        <v>#DIV/0!</v>
      </c>
      <c r="C219" s="424"/>
      <c r="D219" s="425"/>
      <c r="E219" s="429"/>
      <c r="F219" s="426">
        <v>200</v>
      </c>
      <c r="G219" s="427"/>
      <c r="H219" s="428"/>
      <c r="I219" s="427"/>
      <c r="J219" s="428"/>
      <c r="K219" s="427"/>
      <c r="L219" s="428"/>
    </row>
    <row r="220" ht="15.95" customHeight="1" spans="1:12">
      <c r="A220" s="422">
        <v>201</v>
      </c>
      <c r="B220" s="423" t="e">
        <f t="shared" si="4"/>
        <v>#DIV/0!</v>
      </c>
      <c r="C220" s="424"/>
      <c r="D220" s="425"/>
      <c r="E220" s="429"/>
      <c r="F220" s="426">
        <v>201</v>
      </c>
      <c r="G220" s="427"/>
      <c r="H220" s="428"/>
      <c r="I220" s="427"/>
      <c r="J220" s="428"/>
      <c r="K220" s="427"/>
      <c r="L220" s="428"/>
    </row>
    <row r="221" ht="15.95" customHeight="1" spans="1:12">
      <c r="A221" s="422">
        <v>202</v>
      </c>
      <c r="B221" s="423" t="e">
        <f t="shared" si="4"/>
        <v>#DIV/0!</v>
      </c>
      <c r="C221" s="424"/>
      <c r="D221" s="425"/>
      <c r="E221" s="429"/>
      <c r="F221" s="426">
        <v>202</v>
      </c>
      <c r="G221" s="427"/>
      <c r="H221" s="428"/>
      <c r="I221" s="427"/>
      <c r="J221" s="428"/>
      <c r="K221" s="427"/>
      <c r="L221" s="428"/>
    </row>
    <row r="222" ht="15.95" customHeight="1" spans="1:12">
      <c r="A222" s="422">
        <v>203</v>
      </c>
      <c r="B222" s="423" t="e">
        <f t="shared" si="4"/>
        <v>#DIV/0!</v>
      </c>
      <c r="C222" s="424"/>
      <c r="D222" s="425"/>
      <c r="E222" s="429"/>
      <c r="F222" s="426">
        <v>203</v>
      </c>
      <c r="G222" s="427"/>
      <c r="H222" s="428"/>
      <c r="I222" s="427"/>
      <c r="J222" s="428"/>
      <c r="K222" s="427"/>
      <c r="L222" s="428"/>
    </row>
    <row r="223" ht="15.95" customHeight="1" spans="1:12">
      <c r="A223" s="422">
        <v>204</v>
      </c>
      <c r="B223" s="423" t="e">
        <f t="shared" si="4"/>
        <v>#DIV/0!</v>
      </c>
      <c r="C223" s="424"/>
      <c r="D223" s="425"/>
      <c r="E223" s="429"/>
      <c r="F223" s="426">
        <v>204</v>
      </c>
      <c r="G223" s="427"/>
      <c r="H223" s="428"/>
      <c r="I223" s="427"/>
      <c r="J223" s="428"/>
      <c r="K223" s="427"/>
      <c r="L223" s="428"/>
    </row>
    <row r="224" ht="15.95" customHeight="1" spans="1:12">
      <c r="A224" s="422">
        <v>205</v>
      </c>
      <c r="B224" s="423" t="e">
        <f t="shared" si="4"/>
        <v>#DIV/0!</v>
      </c>
      <c r="C224" s="424"/>
      <c r="D224" s="425"/>
      <c r="E224" s="429"/>
      <c r="F224" s="426">
        <v>205</v>
      </c>
      <c r="G224" s="427"/>
      <c r="H224" s="428"/>
      <c r="I224" s="427"/>
      <c r="J224" s="428"/>
      <c r="K224" s="427"/>
      <c r="L224" s="428"/>
    </row>
    <row r="225" ht="15.95" customHeight="1" spans="1:12">
      <c r="A225" s="422">
        <v>206</v>
      </c>
      <c r="B225" s="423" t="e">
        <f t="shared" si="4"/>
        <v>#DIV/0!</v>
      </c>
      <c r="C225" s="424"/>
      <c r="D225" s="425"/>
      <c r="E225" s="429"/>
      <c r="F225" s="426">
        <v>206</v>
      </c>
      <c r="G225" s="427"/>
      <c r="H225" s="428"/>
      <c r="I225" s="427"/>
      <c r="J225" s="428"/>
      <c r="K225" s="427"/>
      <c r="L225" s="428"/>
    </row>
    <row r="226" ht="15.95" customHeight="1" spans="1:12">
      <c r="A226" s="422">
        <v>207</v>
      </c>
      <c r="B226" s="423" t="e">
        <f t="shared" si="4"/>
        <v>#DIV/0!</v>
      </c>
      <c r="C226" s="424"/>
      <c r="D226" s="425"/>
      <c r="E226" s="429"/>
      <c r="F226" s="426">
        <v>207</v>
      </c>
      <c r="G226" s="427"/>
      <c r="H226" s="428"/>
      <c r="I226" s="427"/>
      <c r="J226" s="428"/>
      <c r="K226" s="427"/>
      <c r="L226" s="428"/>
    </row>
    <row r="227" ht="15.95" customHeight="1" spans="1:12">
      <c r="A227" s="422">
        <v>208</v>
      </c>
      <c r="B227" s="423" t="e">
        <f t="shared" si="4"/>
        <v>#DIV/0!</v>
      </c>
      <c r="C227" s="424"/>
      <c r="D227" s="425"/>
      <c r="E227" s="429"/>
      <c r="F227" s="426">
        <v>208</v>
      </c>
      <c r="G227" s="427"/>
      <c r="H227" s="428"/>
      <c r="I227" s="427"/>
      <c r="J227" s="428"/>
      <c r="K227" s="427"/>
      <c r="L227" s="428"/>
    </row>
    <row r="228" ht="15.95" customHeight="1" spans="1:12">
      <c r="A228" s="422">
        <v>209</v>
      </c>
      <c r="B228" s="423" t="e">
        <f t="shared" si="4"/>
        <v>#DIV/0!</v>
      </c>
      <c r="C228" s="424"/>
      <c r="D228" s="425"/>
      <c r="E228" s="429"/>
      <c r="F228" s="426">
        <v>209</v>
      </c>
      <c r="G228" s="427"/>
      <c r="H228" s="428"/>
      <c r="I228" s="427"/>
      <c r="J228" s="428"/>
      <c r="K228" s="427"/>
      <c r="L228" s="428"/>
    </row>
    <row r="229" ht="15.95" customHeight="1" spans="1:12">
      <c r="A229" s="422">
        <v>210</v>
      </c>
      <c r="B229" s="423" t="e">
        <f t="shared" si="4"/>
        <v>#DIV/0!</v>
      </c>
      <c r="C229" s="424"/>
      <c r="D229" s="425"/>
      <c r="E229" s="429"/>
      <c r="F229" s="426">
        <v>210</v>
      </c>
      <c r="G229" s="427"/>
      <c r="H229" s="428"/>
      <c r="I229" s="427"/>
      <c r="J229" s="428"/>
      <c r="K229" s="427"/>
      <c r="L229" s="428"/>
    </row>
    <row r="230" ht="15.95" customHeight="1" spans="1:12">
      <c r="A230" s="422">
        <v>211</v>
      </c>
      <c r="B230" s="423" t="e">
        <f t="shared" si="4"/>
        <v>#DIV/0!</v>
      </c>
      <c r="C230" s="424"/>
      <c r="D230" s="425"/>
      <c r="E230" s="429"/>
      <c r="F230" s="426">
        <v>211</v>
      </c>
      <c r="G230" s="427"/>
      <c r="H230" s="428"/>
      <c r="I230" s="427"/>
      <c r="J230" s="428"/>
      <c r="K230" s="427"/>
      <c r="L230" s="428"/>
    </row>
    <row r="231" ht="15.95" customHeight="1" spans="1:12">
      <c r="A231" s="422">
        <v>212</v>
      </c>
      <c r="B231" s="423" t="e">
        <f t="shared" si="4"/>
        <v>#DIV/0!</v>
      </c>
      <c r="C231" s="424"/>
      <c r="D231" s="425"/>
      <c r="E231" s="429"/>
      <c r="F231" s="426">
        <v>212</v>
      </c>
      <c r="G231" s="427"/>
      <c r="H231" s="428"/>
      <c r="I231" s="427"/>
      <c r="J231" s="428"/>
      <c r="K231" s="427"/>
      <c r="L231" s="428"/>
    </row>
    <row r="232" ht="15.95" customHeight="1" spans="1:12">
      <c r="A232" s="422">
        <v>213</v>
      </c>
      <c r="B232" s="423" t="e">
        <f t="shared" si="4"/>
        <v>#DIV/0!</v>
      </c>
      <c r="C232" s="424"/>
      <c r="D232" s="425"/>
      <c r="E232" s="429"/>
      <c r="F232" s="426">
        <v>213</v>
      </c>
      <c r="G232" s="427"/>
      <c r="H232" s="428"/>
      <c r="I232" s="427"/>
      <c r="J232" s="428"/>
      <c r="K232" s="427"/>
      <c r="L232" s="428"/>
    </row>
    <row r="233" ht="15.95" customHeight="1" spans="1:12">
      <c r="A233" s="422">
        <v>214</v>
      </c>
      <c r="B233" s="423" t="e">
        <f t="shared" si="4"/>
        <v>#DIV/0!</v>
      </c>
      <c r="C233" s="424"/>
      <c r="D233" s="425"/>
      <c r="E233" s="429"/>
      <c r="F233" s="426">
        <v>214</v>
      </c>
      <c r="G233" s="427"/>
      <c r="H233" s="428"/>
      <c r="I233" s="427"/>
      <c r="J233" s="428"/>
      <c r="K233" s="427"/>
      <c r="L233" s="428"/>
    </row>
    <row r="234" ht="15.95" customHeight="1" spans="1:12">
      <c r="A234" s="422">
        <v>215</v>
      </c>
      <c r="B234" s="423" t="e">
        <f t="shared" si="4"/>
        <v>#DIV/0!</v>
      </c>
      <c r="C234" s="424"/>
      <c r="D234" s="425"/>
      <c r="E234" s="429"/>
      <c r="F234" s="426">
        <v>215</v>
      </c>
      <c r="G234" s="427"/>
      <c r="H234" s="428"/>
      <c r="I234" s="427"/>
      <c r="J234" s="428"/>
      <c r="K234" s="427"/>
      <c r="L234" s="428"/>
    </row>
    <row r="235" ht="15.95" customHeight="1" spans="1:12">
      <c r="A235" s="422">
        <v>216</v>
      </c>
      <c r="B235" s="423" t="e">
        <f t="shared" si="4"/>
        <v>#DIV/0!</v>
      </c>
      <c r="C235" s="424"/>
      <c r="D235" s="425"/>
      <c r="E235" s="429"/>
      <c r="F235" s="426">
        <v>216</v>
      </c>
      <c r="G235" s="427"/>
      <c r="H235" s="428"/>
      <c r="I235" s="427"/>
      <c r="J235" s="428"/>
      <c r="K235" s="427"/>
      <c r="L235" s="428"/>
    </row>
    <row r="236" ht="15.95" customHeight="1" spans="1:12">
      <c r="A236" s="422">
        <v>217</v>
      </c>
      <c r="B236" s="423" t="e">
        <f t="shared" si="4"/>
        <v>#DIV/0!</v>
      </c>
      <c r="C236" s="424"/>
      <c r="D236" s="425"/>
      <c r="E236" s="429"/>
      <c r="F236" s="426">
        <v>217</v>
      </c>
      <c r="G236" s="427"/>
      <c r="H236" s="428"/>
      <c r="I236" s="427"/>
      <c r="J236" s="428"/>
      <c r="K236" s="427"/>
      <c r="L236" s="428"/>
    </row>
    <row r="237" ht="15.95" customHeight="1" spans="1:12">
      <c r="A237" s="422">
        <v>218</v>
      </c>
      <c r="B237" s="423" t="e">
        <f t="shared" si="4"/>
        <v>#DIV/0!</v>
      </c>
      <c r="C237" s="424"/>
      <c r="D237" s="425"/>
      <c r="E237" s="429"/>
      <c r="F237" s="426">
        <v>218</v>
      </c>
      <c r="G237" s="427"/>
      <c r="H237" s="428"/>
      <c r="I237" s="427"/>
      <c r="J237" s="428"/>
      <c r="K237" s="427"/>
      <c r="L237" s="428"/>
    </row>
    <row r="238" ht="15.95" customHeight="1" spans="1:12">
      <c r="A238" s="422">
        <v>219</v>
      </c>
      <c r="B238" s="423" t="e">
        <f t="shared" si="4"/>
        <v>#DIV/0!</v>
      </c>
      <c r="C238" s="424"/>
      <c r="D238" s="425"/>
      <c r="E238" s="429"/>
      <c r="F238" s="426">
        <v>219</v>
      </c>
      <c r="G238" s="427"/>
      <c r="H238" s="428"/>
      <c r="I238" s="427"/>
      <c r="J238" s="428"/>
      <c r="K238" s="427"/>
      <c r="L238" s="428"/>
    </row>
    <row r="239" ht="15.95" customHeight="1" spans="1:12">
      <c r="A239" s="422">
        <v>220</v>
      </c>
      <c r="B239" s="423" t="e">
        <f t="shared" si="4"/>
        <v>#DIV/0!</v>
      </c>
      <c r="C239" s="424"/>
      <c r="D239" s="425"/>
      <c r="E239" s="429"/>
      <c r="F239" s="426">
        <v>220</v>
      </c>
      <c r="G239" s="427"/>
      <c r="H239" s="428"/>
      <c r="I239" s="427"/>
      <c r="J239" s="428"/>
      <c r="K239" s="427"/>
      <c r="L239" s="428"/>
    </row>
    <row r="240" ht="15.95" customHeight="1" spans="1:12">
      <c r="A240" s="422">
        <v>221</v>
      </c>
      <c r="B240" s="423" t="e">
        <f t="shared" si="4"/>
        <v>#DIV/0!</v>
      </c>
      <c r="C240" s="424"/>
      <c r="D240" s="425"/>
      <c r="E240" s="429"/>
      <c r="F240" s="426">
        <v>221</v>
      </c>
      <c r="G240" s="427"/>
      <c r="H240" s="428"/>
      <c r="I240" s="427"/>
      <c r="J240" s="428"/>
      <c r="K240" s="427"/>
      <c r="L240" s="428"/>
    </row>
    <row r="241" ht="15.95" customHeight="1" spans="1:12">
      <c r="A241" s="422">
        <v>222</v>
      </c>
      <c r="B241" s="423" t="e">
        <f t="shared" si="4"/>
        <v>#DIV/0!</v>
      </c>
      <c r="C241" s="424"/>
      <c r="D241" s="425"/>
      <c r="E241" s="429"/>
      <c r="F241" s="426">
        <v>222</v>
      </c>
      <c r="G241" s="427"/>
      <c r="H241" s="428"/>
      <c r="I241" s="427"/>
      <c r="J241" s="428"/>
      <c r="K241" s="427"/>
      <c r="L241" s="428"/>
    </row>
    <row r="242" ht="15.95" customHeight="1" spans="1:12">
      <c r="A242" s="422">
        <v>223</v>
      </c>
      <c r="B242" s="423" t="e">
        <f t="shared" si="4"/>
        <v>#DIV/0!</v>
      </c>
      <c r="C242" s="424"/>
      <c r="D242" s="425"/>
      <c r="E242" s="429"/>
      <c r="F242" s="426">
        <v>223</v>
      </c>
      <c r="G242" s="427"/>
      <c r="H242" s="428"/>
      <c r="I242" s="427"/>
      <c r="J242" s="428"/>
      <c r="K242" s="427"/>
      <c r="L242" s="428"/>
    </row>
    <row r="243" ht="15.95" customHeight="1" spans="1:12">
      <c r="A243" s="422">
        <v>224</v>
      </c>
      <c r="B243" s="423" t="e">
        <f t="shared" si="4"/>
        <v>#DIV/0!</v>
      </c>
      <c r="C243" s="424"/>
      <c r="D243" s="425"/>
      <c r="E243" s="429"/>
      <c r="F243" s="426">
        <v>224</v>
      </c>
      <c r="G243" s="427"/>
      <c r="H243" s="428"/>
      <c r="I243" s="427"/>
      <c r="J243" s="428"/>
      <c r="K243" s="427"/>
      <c r="L243" s="428"/>
    </row>
    <row r="244" ht="15.95" customHeight="1" spans="1:12">
      <c r="A244" s="422">
        <v>225</v>
      </c>
      <c r="B244" s="423" t="e">
        <f t="shared" si="4"/>
        <v>#DIV/0!</v>
      </c>
      <c r="C244" s="424"/>
      <c r="D244" s="425"/>
      <c r="E244" s="429"/>
      <c r="F244" s="426">
        <v>225</v>
      </c>
      <c r="G244" s="427"/>
      <c r="H244" s="428"/>
      <c r="I244" s="427"/>
      <c r="J244" s="428"/>
      <c r="K244" s="427"/>
      <c r="L244" s="428"/>
    </row>
    <row r="245" ht="15.95" customHeight="1" spans="1:12">
      <c r="A245" s="422">
        <v>226</v>
      </c>
      <c r="B245" s="423" t="e">
        <f t="shared" si="4"/>
        <v>#DIV/0!</v>
      </c>
      <c r="C245" s="424"/>
      <c r="D245" s="425"/>
      <c r="E245" s="429"/>
      <c r="F245" s="426">
        <v>226</v>
      </c>
      <c r="G245" s="427"/>
      <c r="H245" s="428"/>
      <c r="I245" s="427"/>
      <c r="J245" s="428"/>
      <c r="K245" s="427"/>
      <c r="L245" s="428"/>
    </row>
    <row r="246" ht="15.95" customHeight="1" spans="1:12">
      <c r="A246" s="422">
        <v>227</v>
      </c>
      <c r="B246" s="423" t="e">
        <f t="shared" si="4"/>
        <v>#DIV/0!</v>
      </c>
      <c r="C246" s="424"/>
      <c r="D246" s="425"/>
      <c r="E246" s="429"/>
      <c r="F246" s="426">
        <v>227</v>
      </c>
      <c r="G246" s="427"/>
      <c r="H246" s="428"/>
      <c r="I246" s="427"/>
      <c r="J246" s="428"/>
      <c r="K246" s="427"/>
      <c r="L246" s="428"/>
    </row>
    <row r="247" ht="15.95" customHeight="1" spans="1:12">
      <c r="A247" s="422">
        <v>228</v>
      </c>
      <c r="B247" s="423" t="e">
        <f t="shared" si="4"/>
        <v>#DIV/0!</v>
      </c>
      <c r="C247" s="424"/>
      <c r="D247" s="425"/>
      <c r="E247" s="429"/>
      <c r="F247" s="426">
        <v>228</v>
      </c>
      <c r="G247" s="427"/>
      <c r="H247" s="428"/>
      <c r="I247" s="427"/>
      <c r="J247" s="428"/>
      <c r="K247" s="427"/>
      <c r="L247" s="428"/>
    </row>
    <row r="248" ht="15.95" customHeight="1" spans="1:12">
      <c r="A248" s="422">
        <v>229</v>
      </c>
      <c r="B248" s="423" t="e">
        <f t="shared" si="4"/>
        <v>#DIV/0!</v>
      </c>
      <c r="C248" s="424"/>
      <c r="D248" s="425"/>
      <c r="E248" s="429"/>
      <c r="F248" s="426">
        <v>229</v>
      </c>
      <c r="G248" s="427"/>
      <c r="H248" s="428"/>
      <c r="I248" s="427"/>
      <c r="J248" s="428"/>
      <c r="K248" s="427"/>
      <c r="L248" s="428"/>
    </row>
    <row r="249" ht="15.95" customHeight="1" spans="1:12">
      <c r="A249" s="422">
        <v>230</v>
      </c>
      <c r="B249" s="423" t="e">
        <f t="shared" si="4"/>
        <v>#DIV/0!</v>
      </c>
      <c r="C249" s="424"/>
      <c r="D249" s="425"/>
      <c r="E249" s="429"/>
      <c r="F249" s="426">
        <v>230</v>
      </c>
      <c r="G249" s="427"/>
      <c r="H249" s="428"/>
      <c r="I249" s="427"/>
      <c r="J249" s="428"/>
      <c r="K249" s="427"/>
      <c r="L249" s="428"/>
    </row>
    <row r="250" ht="15.95" customHeight="1" spans="1:12">
      <c r="A250" s="422">
        <v>231</v>
      </c>
      <c r="B250" s="423" t="e">
        <f t="shared" si="4"/>
        <v>#DIV/0!</v>
      </c>
      <c r="C250" s="424"/>
      <c r="D250" s="425"/>
      <c r="E250" s="429"/>
      <c r="F250" s="426">
        <v>231</v>
      </c>
      <c r="G250" s="427"/>
      <c r="H250" s="428"/>
      <c r="I250" s="427"/>
      <c r="J250" s="428"/>
      <c r="K250" s="427"/>
      <c r="L250" s="428"/>
    </row>
    <row r="251" ht="15.95" customHeight="1" spans="1:12">
      <c r="A251" s="422">
        <v>232</v>
      </c>
      <c r="B251" s="423" t="e">
        <f t="shared" si="4"/>
        <v>#DIV/0!</v>
      </c>
      <c r="C251" s="424"/>
      <c r="D251" s="425"/>
      <c r="E251" s="429"/>
      <c r="F251" s="426">
        <v>232</v>
      </c>
      <c r="G251" s="427"/>
      <c r="H251" s="428"/>
      <c r="I251" s="427"/>
      <c r="J251" s="428"/>
      <c r="K251" s="427"/>
      <c r="L251" s="428"/>
    </row>
    <row r="252" ht="15.95" customHeight="1" spans="1:12">
      <c r="A252" s="422">
        <v>233</v>
      </c>
      <c r="B252" s="423" t="e">
        <f t="shared" si="4"/>
        <v>#DIV/0!</v>
      </c>
      <c r="C252" s="424"/>
      <c r="D252" s="425"/>
      <c r="E252" s="429"/>
      <c r="F252" s="426">
        <v>233</v>
      </c>
      <c r="G252" s="427"/>
      <c r="H252" s="428"/>
      <c r="I252" s="427"/>
      <c r="J252" s="428"/>
      <c r="K252" s="427"/>
      <c r="L252" s="428"/>
    </row>
    <row r="253" ht="15.95" customHeight="1" spans="1:12">
      <c r="A253" s="422">
        <v>234</v>
      </c>
      <c r="B253" s="423" t="e">
        <f t="shared" si="4"/>
        <v>#DIV/0!</v>
      </c>
      <c r="C253" s="424"/>
      <c r="D253" s="425"/>
      <c r="E253" s="429"/>
      <c r="F253" s="426">
        <v>234</v>
      </c>
      <c r="G253" s="427"/>
      <c r="H253" s="428"/>
      <c r="I253" s="427"/>
      <c r="J253" s="428"/>
      <c r="K253" s="427"/>
      <c r="L253" s="428"/>
    </row>
    <row r="254" ht="15.95" customHeight="1" spans="1:12">
      <c r="A254" s="422">
        <v>235</v>
      </c>
      <c r="B254" s="423" t="e">
        <f t="shared" si="4"/>
        <v>#DIV/0!</v>
      </c>
      <c r="C254" s="424"/>
      <c r="D254" s="425"/>
      <c r="E254" s="429"/>
      <c r="F254" s="426">
        <v>235</v>
      </c>
      <c r="G254" s="427"/>
      <c r="H254" s="428"/>
      <c r="I254" s="427"/>
      <c r="J254" s="428"/>
      <c r="K254" s="427"/>
      <c r="L254" s="428"/>
    </row>
    <row r="255" ht="15.95" customHeight="1" spans="1:12">
      <c r="A255" s="422">
        <v>236</v>
      </c>
      <c r="B255" s="423" t="e">
        <f t="shared" si="4"/>
        <v>#DIV/0!</v>
      </c>
      <c r="C255" s="424"/>
      <c r="D255" s="425"/>
      <c r="E255" s="429"/>
      <c r="F255" s="426">
        <v>236</v>
      </c>
      <c r="G255" s="427"/>
      <c r="H255" s="428"/>
      <c r="I255" s="427"/>
      <c r="J255" s="428"/>
      <c r="K255" s="427"/>
      <c r="L255" s="428"/>
    </row>
    <row r="256" ht="15.95" customHeight="1" spans="1:12">
      <c r="A256" s="422">
        <v>237</v>
      </c>
      <c r="B256" s="423" t="e">
        <f t="shared" si="4"/>
        <v>#DIV/0!</v>
      </c>
      <c r="C256" s="424"/>
      <c r="D256" s="425"/>
      <c r="E256" s="429"/>
      <c r="F256" s="426">
        <v>237</v>
      </c>
      <c r="G256" s="427"/>
      <c r="H256" s="428"/>
      <c r="I256" s="427"/>
      <c r="J256" s="428"/>
      <c r="K256" s="427"/>
      <c r="L256" s="428"/>
    </row>
    <row r="257" ht="15.95" customHeight="1" spans="1:12">
      <c r="A257" s="422">
        <v>238</v>
      </c>
      <c r="B257" s="423" t="e">
        <f t="shared" si="4"/>
        <v>#DIV/0!</v>
      </c>
      <c r="C257" s="424"/>
      <c r="D257" s="425"/>
      <c r="E257" s="429"/>
      <c r="F257" s="426">
        <v>238</v>
      </c>
      <c r="G257" s="427"/>
      <c r="H257" s="428"/>
      <c r="I257" s="427"/>
      <c r="J257" s="428"/>
      <c r="K257" s="427"/>
      <c r="L257" s="428"/>
    </row>
    <row r="258" ht="15.95" customHeight="1" spans="1:12">
      <c r="A258" s="422">
        <v>239</v>
      </c>
      <c r="B258" s="423" t="e">
        <f t="shared" si="4"/>
        <v>#DIV/0!</v>
      </c>
      <c r="C258" s="424"/>
      <c r="D258" s="425"/>
      <c r="E258" s="429"/>
      <c r="F258" s="426">
        <v>239</v>
      </c>
      <c r="G258" s="427"/>
      <c r="H258" s="428"/>
      <c r="I258" s="427"/>
      <c r="J258" s="428"/>
      <c r="K258" s="427"/>
      <c r="L258" s="428"/>
    </row>
    <row r="259" ht="15.95" customHeight="1" spans="1:12">
      <c r="A259" s="422">
        <v>240</v>
      </c>
      <c r="B259" s="423" t="e">
        <f t="shared" si="4"/>
        <v>#DIV/0!</v>
      </c>
      <c r="C259" s="424"/>
      <c r="D259" s="425"/>
      <c r="E259" s="429"/>
      <c r="F259" s="426">
        <v>240</v>
      </c>
      <c r="G259" s="427"/>
      <c r="H259" s="428"/>
      <c r="I259" s="427"/>
      <c r="J259" s="428"/>
      <c r="K259" s="427"/>
      <c r="L259" s="428"/>
    </row>
    <row r="260" ht="15.95" customHeight="1" spans="1:12">
      <c r="A260" s="422">
        <v>241</v>
      </c>
      <c r="B260" s="423" t="e">
        <f t="shared" si="4"/>
        <v>#DIV/0!</v>
      </c>
      <c r="C260" s="424"/>
      <c r="D260" s="425"/>
      <c r="E260" s="429"/>
      <c r="F260" s="426">
        <v>241</v>
      </c>
      <c r="G260" s="427"/>
      <c r="H260" s="428"/>
      <c r="I260" s="427"/>
      <c r="J260" s="428"/>
      <c r="K260" s="427"/>
      <c r="L260" s="428"/>
    </row>
    <row r="261" ht="15.95" customHeight="1" spans="1:12">
      <c r="A261" s="422">
        <v>242</v>
      </c>
      <c r="B261" s="423" t="e">
        <f t="shared" si="4"/>
        <v>#DIV/0!</v>
      </c>
      <c r="C261" s="424"/>
      <c r="D261" s="425"/>
      <c r="E261" s="429"/>
      <c r="F261" s="426">
        <v>242</v>
      </c>
      <c r="G261" s="427"/>
      <c r="H261" s="428"/>
      <c r="I261" s="427"/>
      <c r="J261" s="428"/>
      <c r="K261" s="427"/>
      <c r="L261" s="428"/>
    </row>
    <row r="262" ht="15.95" customHeight="1" spans="1:12">
      <c r="A262" s="422">
        <v>243</v>
      </c>
      <c r="B262" s="423" t="e">
        <f t="shared" si="4"/>
        <v>#DIV/0!</v>
      </c>
      <c r="C262" s="424"/>
      <c r="D262" s="425"/>
      <c r="E262" s="429"/>
      <c r="F262" s="426">
        <v>243</v>
      </c>
      <c r="G262" s="427"/>
      <c r="H262" s="428"/>
      <c r="I262" s="427"/>
      <c r="J262" s="428"/>
      <c r="K262" s="427"/>
      <c r="L262" s="428"/>
    </row>
    <row r="263" ht="15.95" customHeight="1" spans="1:12">
      <c r="A263" s="422">
        <v>244</v>
      </c>
      <c r="B263" s="423" t="e">
        <f t="shared" si="4"/>
        <v>#DIV/0!</v>
      </c>
      <c r="C263" s="424"/>
      <c r="D263" s="425"/>
      <c r="E263" s="429"/>
      <c r="F263" s="426">
        <v>244</v>
      </c>
      <c r="G263" s="427"/>
      <c r="H263" s="428"/>
      <c r="I263" s="427"/>
      <c r="J263" s="428"/>
      <c r="K263" s="427"/>
      <c r="L263" s="428"/>
    </row>
    <row r="264" ht="15.95" customHeight="1" spans="1:12">
      <c r="A264" s="422">
        <v>245</v>
      </c>
      <c r="B264" s="423" t="e">
        <f t="shared" si="4"/>
        <v>#DIV/0!</v>
      </c>
      <c r="C264" s="424"/>
      <c r="D264" s="425"/>
      <c r="E264" s="429"/>
      <c r="F264" s="426">
        <v>245</v>
      </c>
      <c r="G264" s="427"/>
      <c r="H264" s="428"/>
      <c r="I264" s="427"/>
      <c r="J264" s="428"/>
      <c r="K264" s="427"/>
      <c r="L264" s="428"/>
    </row>
    <row r="265" ht="15.95" customHeight="1" spans="1:12">
      <c r="A265" s="422">
        <v>246</v>
      </c>
      <c r="B265" s="423" t="e">
        <f t="shared" si="4"/>
        <v>#DIV/0!</v>
      </c>
      <c r="C265" s="424"/>
      <c r="D265" s="425"/>
      <c r="E265" s="429"/>
      <c r="F265" s="426">
        <v>246</v>
      </c>
      <c r="G265" s="427"/>
      <c r="H265" s="428"/>
      <c r="I265" s="427"/>
      <c r="J265" s="428"/>
      <c r="K265" s="427"/>
      <c r="L265" s="428"/>
    </row>
    <row r="266" ht="15.95" customHeight="1" spans="1:12">
      <c r="A266" s="422">
        <v>247</v>
      </c>
      <c r="B266" s="423" t="e">
        <f t="shared" si="4"/>
        <v>#DIV/0!</v>
      </c>
      <c r="C266" s="424"/>
      <c r="D266" s="425"/>
      <c r="E266" s="429"/>
      <c r="F266" s="426">
        <v>247</v>
      </c>
      <c r="G266" s="427"/>
      <c r="H266" s="428"/>
      <c r="I266" s="427"/>
      <c r="J266" s="428"/>
      <c r="K266" s="427"/>
      <c r="L266" s="428"/>
    </row>
    <row r="267" ht="15.95" customHeight="1" spans="1:12">
      <c r="A267" s="422">
        <v>248</v>
      </c>
      <c r="B267" s="423" t="e">
        <f t="shared" si="4"/>
        <v>#DIV/0!</v>
      </c>
      <c r="C267" s="424"/>
      <c r="D267" s="425"/>
      <c r="E267" s="429"/>
      <c r="F267" s="426">
        <v>248</v>
      </c>
      <c r="G267" s="427"/>
      <c r="H267" s="428"/>
      <c r="I267" s="427"/>
      <c r="J267" s="428"/>
      <c r="K267" s="427"/>
      <c r="L267" s="428"/>
    </row>
    <row r="268" ht="15.95" customHeight="1" spans="1:12">
      <c r="A268" s="422">
        <v>249</v>
      </c>
      <c r="B268" s="423" t="e">
        <f t="shared" si="4"/>
        <v>#DIV/0!</v>
      </c>
      <c r="C268" s="424"/>
      <c r="D268" s="425"/>
      <c r="E268" s="429"/>
      <c r="F268" s="426">
        <v>249</v>
      </c>
      <c r="G268" s="427"/>
      <c r="H268" s="428"/>
      <c r="I268" s="427"/>
      <c r="J268" s="428"/>
      <c r="K268" s="427"/>
      <c r="L268" s="428"/>
    </row>
    <row r="269" ht="15.95" customHeight="1" spans="1:12">
      <c r="A269" s="422">
        <v>250</v>
      </c>
      <c r="B269" s="423" t="e">
        <f t="shared" si="4"/>
        <v>#DIV/0!</v>
      </c>
      <c r="C269" s="424"/>
      <c r="D269" s="425"/>
      <c r="E269" s="429"/>
      <c r="F269" s="426">
        <v>250</v>
      </c>
      <c r="G269" s="427"/>
      <c r="H269" s="428"/>
      <c r="I269" s="427"/>
      <c r="J269" s="428"/>
      <c r="K269" s="427"/>
      <c r="L269" s="428"/>
    </row>
    <row r="270" ht="15.95" customHeight="1" spans="1:12">
      <c r="A270" s="422">
        <v>251</v>
      </c>
      <c r="B270" s="423" t="e">
        <f t="shared" si="4"/>
        <v>#DIV/0!</v>
      </c>
      <c r="C270" s="424"/>
      <c r="D270" s="425"/>
      <c r="E270" s="429"/>
      <c r="F270" s="426">
        <v>251</v>
      </c>
      <c r="G270" s="427"/>
      <c r="H270" s="428"/>
      <c r="I270" s="427"/>
      <c r="J270" s="428"/>
      <c r="K270" s="427"/>
      <c r="L270" s="428"/>
    </row>
    <row r="271" ht="15.95" customHeight="1" spans="1:12">
      <c r="A271" s="422">
        <v>252</v>
      </c>
      <c r="B271" s="423" t="e">
        <f t="shared" si="4"/>
        <v>#DIV/0!</v>
      </c>
      <c r="C271" s="424"/>
      <c r="D271" s="425"/>
      <c r="E271" s="429"/>
      <c r="F271" s="426">
        <v>252</v>
      </c>
      <c r="G271" s="427"/>
      <c r="H271" s="428"/>
      <c r="I271" s="427"/>
      <c r="J271" s="428"/>
      <c r="K271" s="427"/>
      <c r="L271" s="428"/>
    </row>
    <row r="272" ht="15.95" customHeight="1" spans="1:12">
      <c r="A272" s="422">
        <v>253</v>
      </c>
      <c r="B272" s="423" t="e">
        <f t="shared" si="4"/>
        <v>#DIV/0!</v>
      </c>
      <c r="C272" s="424"/>
      <c r="D272" s="425"/>
      <c r="E272" s="429"/>
      <c r="F272" s="426">
        <v>253</v>
      </c>
      <c r="G272" s="427"/>
      <c r="H272" s="428"/>
      <c r="I272" s="427"/>
      <c r="J272" s="428"/>
      <c r="K272" s="427"/>
      <c r="L272" s="428"/>
    </row>
    <row r="273" ht="15.95" customHeight="1" spans="1:12">
      <c r="A273" s="422">
        <v>254</v>
      </c>
      <c r="B273" s="423" t="e">
        <f t="shared" si="4"/>
        <v>#DIV/0!</v>
      </c>
      <c r="C273" s="424"/>
      <c r="D273" s="425"/>
      <c r="E273" s="429"/>
      <c r="F273" s="426">
        <v>254</v>
      </c>
      <c r="G273" s="427"/>
      <c r="H273" s="428"/>
      <c r="I273" s="427"/>
      <c r="J273" s="428"/>
      <c r="K273" s="427"/>
      <c r="L273" s="428"/>
    </row>
    <row r="274" ht="15.95" customHeight="1" spans="1:12">
      <c r="A274" s="422">
        <v>255</v>
      </c>
      <c r="B274" s="423" t="e">
        <f t="shared" si="4"/>
        <v>#DIV/0!</v>
      </c>
      <c r="C274" s="424"/>
      <c r="D274" s="425"/>
      <c r="E274" s="429"/>
      <c r="F274" s="426">
        <v>255</v>
      </c>
      <c r="G274" s="427"/>
      <c r="H274" s="428"/>
      <c r="I274" s="427"/>
      <c r="J274" s="428"/>
      <c r="K274" s="427"/>
      <c r="L274" s="428"/>
    </row>
    <row r="275" ht="15.95" customHeight="1" spans="1:12">
      <c r="A275" s="422">
        <v>256</v>
      </c>
      <c r="B275" s="423" t="e">
        <f t="shared" si="4"/>
        <v>#DIV/0!</v>
      </c>
      <c r="C275" s="424"/>
      <c r="D275" s="425"/>
      <c r="E275" s="429"/>
      <c r="F275" s="426">
        <v>256</v>
      </c>
      <c r="G275" s="427"/>
      <c r="H275" s="428"/>
      <c r="I275" s="427"/>
      <c r="J275" s="428"/>
      <c r="K275" s="427"/>
      <c r="L275" s="428"/>
    </row>
    <row r="276" ht="15.95" customHeight="1" spans="1:12">
      <c r="A276" s="422">
        <v>257</v>
      </c>
      <c r="B276" s="423" t="e">
        <f t="shared" ref="B276:B339" si="5">AVERAGE(G276:L276)</f>
        <v>#DIV/0!</v>
      </c>
      <c r="C276" s="424"/>
      <c r="D276" s="425"/>
      <c r="E276" s="429"/>
      <c r="F276" s="426">
        <v>257</v>
      </c>
      <c r="G276" s="427"/>
      <c r="H276" s="428"/>
      <c r="I276" s="427"/>
      <c r="J276" s="428"/>
      <c r="K276" s="427"/>
      <c r="L276" s="428"/>
    </row>
    <row r="277" ht="15.95" customHeight="1" spans="1:12">
      <c r="A277" s="422">
        <v>258</v>
      </c>
      <c r="B277" s="423" t="e">
        <f t="shared" si="5"/>
        <v>#DIV/0!</v>
      </c>
      <c r="C277" s="424"/>
      <c r="D277" s="425"/>
      <c r="E277" s="429"/>
      <c r="F277" s="426">
        <v>258</v>
      </c>
      <c r="G277" s="427"/>
      <c r="H277" s="428"/>
      <c r="I277" s="427"/>
      <c r="J277" s="428"/>
      <c r="K277" s="427"/>
      <c r="L277" s="428"/>
    </row>
    <row r="278" ht="15.95" customHeight="1" spans="1:12">
      <c r="A278" s="422">
        <v>259</v>
      </c>
      <c r="B278" s="423" t="e">
        <f t="shared" si="5"/>
        <v>#DIV/0!</v>
      </c>
      <c r="C278" s="424"/>
      <c r="D278" s="425"/>
      <c r="E278" s="429"/>
      <c r="F278" s="426">
        <v>259</v>
      </c>
      <c r="G278" s="427"/>
      <c r="H278" s="428"/>
      <c r="I278" s="427"/>
      <c r="J278" s="428"/>
      <c r="K278" s="427"/>
      <c r="L278" s="428"/>
    </row>
    <row r="279" ht="15.95" customHeight="1" spans="1:12">
      <c r="A279" s="422">
        <v>260</v>
      </c>
      <c r="B279" s="423" t="e">
        <f t="shared" si="5"/>
        <v>#DIV/0!</v>
      </c>
      <c r="C279" s="424"/>
      <c r="D279" s="425"/>
      <c r="E279" s="429"/>
      <c r="F279" s="426">
        <v>260</v>
      </c>
      <c r="G279" s="427"/>
      <c r="H279" s="428"/>
      <c r="I279" s="427"/>
      <c r="J279" s="428"/>
      <c r="K279" s="427"/>
      <c r="L279" s="428"/>
    </row>
    <row r="280" ht="15.95" customHeight="1" spans="1:12">
      <c r="A280" s="422">
        <v>261</v>
      </c>
      <c r="B280" s="423" t="e">
        <f t="shared" si="5"/>
        <v>#DIV/0!</v>
      </c>
      <c r="C280" s="424"/>
      <c r="D280" s="425"/>
      <c r="E280" s="429"/>
      <c r="F280" s="426">
        <v>261</v>
      </c>
      <c r="G280" s="427"/>
      <c r="H280" s="428"/>
      <c r="I280" s="427"/>
      <c r="J280" s="428"/>
      <c r="K280" s="427"/>
      <c r="L280" s="428"/>
    </row>
    <row r="281" ht="15.95" customHeight="1" spans="1:12">
      <c r="A281" s="422">
        <v>262</v>
      </c>
      <c r="B281" s="423" t="e">
        <f t="shared" si="5"/>
        <v>#DIV/0!</v>
      </c>
      <c r="C281" s="424"/>
      <c r="D281" s="425"/>
      <c r="E281" s="429"/>
      <c r="F281" s="426">
        <v>262</v>
      </c>
      <c r="G281" s="427"/>
      <c r="H281" s="428"/>
      <c r="I281" s="427"/>
      <c r="J281" s="428"/>
      <c r="K281" s="427"/>
      <c r="L281" s="428"/>
    </row>
    <row r="282" ht="15.95" customHeight="1" spans="1:12">
      <c r="A282" s="422">
        <v>263</v>
      </c>
      <c r="B282" s="423" t="e">
        <f t="shared" si="5"/>
        <v>#DIV/0!</v>
      </c>
      <c r="C282" s="424"/>
      <c r="D282" s="425"/>
      <c r="E282" s="429"/>
      <c r="F282" s="426">
        <v>263</v>
      </c>
      <c r="G282" s="427"/>
      <c r="H282" s="428"/>
      <c r="I282" s="427"/>
      <c r="J282" s="428"/>
      <c r="K282" s="427"/>
      <c r="L282" s="428"/>
    </row>
    <row r="283" ht="15.95" customHeight="1" spans="1:12">
      <c r="A283" s="422">
        <v>264</v>
      </c>
      <c r="B283" s="423" t="e">
        <f t="shared" si="5"/>
        <v>#DIV/0!</v>
      </c>
      <c r="C283" s="424"/>
      <c r="D283" s="425"/>
      <c r="E283" s="429"/>
      <c r="F283" s="426">
        <v>264</v>
      </c>
      <c r="G283" s="427"/>
      <c r="H283" s="428"/>
      <c r="I283" s="427"/>
      <c r="J283" s="428"/>
      <c r="K283" s="427"/>
      <c r="L283" s="428"/>
    </row>
    <row r="284" ht="15.95" customHeight="1" spans="1:12">
      <c r="A284" s="422">
        <v>265</v>
      </c>
      <c r="B284" s="423" t="e">
        <f t="shared" si="5"/>
        <v>#DIV/0!</v>
      </c>
      <c r="C284" s="424"/>
      <c r="D284" s="425"/>
      <c r="E284" s="429"/>
      <c r="F284" s="426">
        <v>265</v>
      </c>
      <c r="G284" s="427"/>
      <c r="H284" s="428"/>
      <c r="I284" s="427"/>
      <c r="J284" s="428"/>
      <c r="K284" s="427"/>
      <c r="L284" s="428"/>
    </row>
    <row r="285" ht="15.95" customHeight="1" spans="1:12">
      <c r="A285" s="422">
        <v>266</v>
      </c>
      <c r="B285" s="423" t="e">
        <f t="shared" si="5"/>
        <v>#DIV/0!</v>
      </c>
      <c r="C285" s="424"/>
      <c r="D285" s="425"/>
      <c r="E285" s="429"/>
      <c r="F285" s="426">
        <v>266</v>
      </c>
      <c r="G285" s="427"/>
      <c r="H285" s="428"/>
      <c r="I285" s="427"/>
      <c r="J285" s="428"/>
      <c r="K285" s="427"/>
      <c r="L285" s="428"/>
    </row>
    <row r="286" ht="15.95" customHeight="1" spans="1:12">
      <c r="A286" s="422">
        <v>267</v>
      </c>
      <c r="B286" s="423" t="e">
        <f t="shared" si="5"/>
        <v>#DIV/0!</v>
      </c>
      <c r="C286" s="424"/>
      <c r="D286" s="425"/>
      <c r="E286" s="429"/>
      <c r="F286" s="426">
        <v>267</v>
      </c>
      <c r="G286" s="427"/>
      <c r="H286" s="428"/>
      <c r="I286" s="427"/>
      <c r="J286" s="428"/>
      <c r="K286" s="427"/>
      <c r="L286" s="428"/>
    </row>
    <row r="287" ht="15.95" customHeight="1" spans="1:12">
      <c r="A287" s="422">
        <v>268</v>
      </c>
      <c r="B287" s="423" t="e">
        <f t="shared" si="5"/>
        <v>#DIV/0!</v>
      </c>
      <c r="C287" s="424"/>
      <c r="D287" s="425"/>
      <c r="E287" s="429"/>
      <c r="F287" s="426">
        <v>268</v>
      </c>
      <c r="G287" s="427"/>
      <c r="H287" s="428"/>
      <c r="I287" s="427"/>
      <c r="J287" s="428"/>
      <c r="K287" s="427"/>
      <c r="L287" s="428"/>
    </row>
    <row r="288" ht="15.95" customHeight="1" spans="1:12">
      <c r="A288" s="422">
        <v>269</v>
      </c>
      <c r="B288" s="423" t="e">
        <f t="shared" si="5"/>
        <v>#DIV/0!</v>
      </c>
      <c r="C288" s="424"/>
      <c r="D288" s="425"/>
      <c r="E288" s="429"/>
      <c r="F288" s="426">
        <v>269</v>
      </c>
      <c r="G288" s="427"/>
      <c r="H288" s="428"/>
      <c r="I288" s="427"/>
      <c r="J288" s="428"/>
      <c r="K288" s="427"/>
      <c r="L288" s="428"/>
    </row>
    <row r="289" ht="15.95" customHeight="1" spans="1:12">
      <c r="A289" s="422">
        <v>270</v>
      </c>
      <c r="B289" s="423" t="e">
        <f t="shared" si="5"/>
        <v>#DIV/0!</v>
      </c>
      <c r="C289" s="424"/>
      <c r="D289" s="425"/>
      <c r="E289" s="429"/>
      <c r="F289" s="426">
        <v>270</v>
      </c>
      <c r="G289" s="427"/>
      <c r="H289" s="428"/>
      <c r="I289" s="427"/>
      <c r="J289" s="428"/>
      <c r="K289" s="427"/>
      <c r="L289" s="428"/>
    </row>
    <row r="290" ht="15.95" customHeight="1" spans="1:12">
      <c r="A290" s="422">
        <v>271</v>
      </c>
      <c r="B290" s="423" t="e">
        <f t="shared" si="5"/>
        <v>#DIV/0!</v>
      </c>
      <c r="C290" s="424"/>
      <c r="D290" s="425"/>
      <c r="E290" s="429"/>
      <c r="F290" s="426">
        <v>271</v>
      </c>
      <c r="G290" s="427"/>
      <c r="H290" s="428"/>
      <c r="I290" s="427"/>
      <c r="J290" s="428"/>
      <c r="K290" s="427"/>
      <c r="L290" s="428"/>
    </row>
    <row r="291" ht="15.95" customHeight="1" spans="1:12">
      <c r="A291" s="422">
        <v>272</v>
      </c>
      <c r="B291" s="423" t="e">
        <f t="shared" si="5"/>
        <v>#DIV/0!</v>
      </c>
      <c r="C291" s="424"/>
      <c r="D291" s="425"/>
      <c r="E291" s="429"/>
      <c r="F291" s="426">
        <v>272</v>
      </c>
      <c r="G291" s="427"/>
      <c r="H291" s="428"/>
      <c r="I291" s="427"/>
      <c r="J291" s="428"/>
      <c r="K291" s="427"/>
      <c r="L291" s="428"/>
    </row>
    <row r="292" ht="15.95" customHeight="1" spans="1:12">
      <c r="A292" s="422">
        <v>273</v>
      </c>
      <c r="B292" s="423" t="e">
        <f t="shared" si="5"/>
        <v>#DIV/0!</v>
      </c>
      <c r="C292" s="424"/>
      <c r="D292" s="425"/>
      <c r="E292" s="429"/>
      <c r="F292" s="426">
        <v>273</v>
      </c>
      <c r="G292" s="427"/>
      <c r="H292" s="428"/>
      <c r="I292" s="427"/>
      <c r="J292" s="428"/>
      <c r="K292" s="427"/>
      <c r="L292" s="428"/>
    </row>
    <row r="293" ht="15.95" customHeight="1" spans="1:12">
      <c r="A293" s="422">
        <v>274</v>
      </c>
      <c r="B293" s="423" t="e">
        <f t="shared" si="5"/>
        <v>#DIV/0!</v>
      </c>
      <c r="C293" s="424"/>
      <c r="D293" s="425"/>
      <c r="E293" s="429"/>
      <c r="F293" s="426">
        <v>274</v>
      </c>
      <c r="G293" s="427"/>
      <c r="H293" s="428"/>
      <c r="I293" s="427"/>
      <c r="J293" s="428"/>
      <c r="K293" s="427"/>
      <c r="L293" s="428"/>
    </row>
    <row r="294" ht="15.95" customHeight="1" spans="1:12">
      <c r="A294" s="422">
        <v>275</v>
      </c>
      <c r="B294" s="423" t="e">
        <f t="shared" si="5"/>
        <v>#DIV/0!</v>
      </c>
      <c r="C294" s="424"/>
      <c r="D294" s="425"/>
      <c r="E294" s="429"/>
      <c r="F294" s="426">
        <v>275</v>
      </c>
      <c r="G294" s="427"/>
      <c r="H294" s="428"/>
      <c r="I294" s="427"/>
      <c r="J294" s="428"/>
      <c r="K294" s="427"/>
      <c r="L294" s="428"/>
    </row>
    <row r="295" ht="15.95" customHeight="1" spans="1:12">
      <c r="A295" s="422">
        <v>276</v>
      </c>
      <c r="B295" s="423" t="e">
        <f t="shared" si="5"/>
        <v>#DIV/0!</v>
      </c>
      <c r="C295" s="424"/>
      <c r="D295" s="425"/>
      <c r="E295" s="429"/>
      <c r="F295" s="426">
        <v>276</v>
      </c>
      <c r="G295" s="427"/>
      <c r="H295" s="428"/>
      <c r="I295" s="427"/>
      <c r="J295" s="428"/>
      <c r="K295" s="427"/>
      <c r="L295" s="428"/>
    </row>
    <row r="296" ht="15.95" customHeight="1" spans="1:12">
      <c r="A296" s="422">
        <v>277</v>
      </c>
      <c r="B296" s="423" t="e">
        <f t="shared" si="5"/>
        <v>#DIV/0!</v>
      </c>
      <c r="C296" s="424"/>
      <c r="D296" s="425"/>
      <c r="E296" s="429"/>
      <c r="F296" s="426">
        <v>277</v>
      </c>
      <c r="G296" s="427"/>
      <c r="H296" s="428"/>
      <c r="I296" s="427"/>
      <c r="J296" s="428"/>
      <c r="K296" s="427"/>
      <c r="L296" s="428"/>
    </row>
    <row r="297" ht="15.95" customHeight="1" spans="1:12">
      <c r="A297" s="422">
        <v>278</v>
      </c>
      <c r="B297" s="423" t="e">
        <f t="shared" si="5"/>
        <v>#DIV/0!</v>
      </c>
      <c r="C297" s="424"/>
      <c r="D297" s="425"/>
      <c r="E297" s="429"/>
      <c r="F297" s="426">
        <v>278</v>
      </c>
      <c r="G297" s="427"/>
      <c r="H297" s="428"/>
      <c r="I297" s="427"/>
      <c r="J297" s="428"/>
      <c r="K297" s="427"/>
      <c r="L297" s="428"/>
    </row>
    <row r="298" ht="15.95" customHeight="1" spans="1:12">
      <c r="A298" s="422">
        <v>279</v>
      </c>
      <c r="B298" s="423" t="e">
        <f t="shared" si="5"/>
        <v>#DIV/0!</v>
      </c>
      <c r="C298" s="424"/>
      <c r="D298" s="425"/>
      <c r="E298" s="429"/>
      <c r="F298" s="426">
        <v>279</v>
      </c>
      <c r="G298" s="427"/>
      <c r="H298" s="428"/>
      <c r="I298" s="427"/>
      <c r="J298" s="428"/>
      <c r="K298" s="427"/>
      <c r="L298" s="428"/>
    </row>
    <row r="299" ht="15.95" customHeight="1" spans="1:12">
      <c r="A299" s="422">
        <v>280</v>
      </c>
      <c r="B299" s="423" t="e">
        <f t="shared" si="5"/>
        <v>#DIV/0!</v>
      </c>
      <c r="C299" s="424"/>
      <c r="D299" s="425"/>
      <c r="E299" s="429"/>
      <c r="F299" s="426">
        <v>280</v>
      </c>
      <c r="G299" s="427"/>
      <c r="H299" s="428"/>
      <c r="I299" s="427"/>
      <c r="J299" s="428"/>
      <c r="K299" s="427"/>
      <c r="L299" s="428"/>
    </row>
    <row r="300" ht="15.95" customHeight="1" spans="1:12">
      <c r="A300" s="422">
        <v>281</v>
      </c>
      <c r="B300" s="423" t="e">
        <f t="shared" si="5"/>
        <v>#DIV/0!</v>
      </c>
      <c r="C300" s="424"/>
      <c r="D300" s="425"/>
      <c r="E300" s="429"/>
      <c r="F300" s="426">
        <v>281</v>
      </c>
      <c r="G300" s="427"/>
      <c r="H300" s="428"/>
      <c r="I300" s="427"/>
      <c r="J300" s="428"/>
      <c r="K300" s="427"/>
      <c r="L300" s="428"/>
    </row>
    <row r="301" ht="15.95" customHeight="1" spans="1:12">
      <c r="A301" s="422">
        <v>282</v>
      </c>
      <c r="B301" s="423" t="e">
        <f t="shared" si="5"/>
        <v>#DIV/0!</v>
      </c>
      <c r="C301" s="424"/>
      <c r="D301" s="425"/>
      <c r="E301" s="429"/>
      <c r="F301" s="426">
        <v>282</v>
      </c>
      <c r="G301" s="427"/>
      <c r="H301" s="428"/>
      <c r="I301" s="427"/>
      <c r="J301" s="428"/>
      <c r="K301" s="427"/>
      <c r="L301" s="428"/>
    </row>
    <row r="302" ht="15.95" customHeight="1" spans="1:12">
      <c r="A302" s="422">
        <v>283</v>
      </c>
      <c r="B302" s="423" t="e">
        <f t="shared" si="5"/>
        <v>#DIV/0!</v>
      </c>
      <c r="C302" s="424"/>
      <c r="D302" s="425"/>
      <c r="E302" s="429"/>
      <c r="F302" s="426">
        <v>283</v>
      </c>
      <c r="G302" s="427"/>
      <c r="H302" s="428"/>
      <c r="I302" s="427"/>
      <c r="J302" s="428"/>
      <c r="K302" s="427"/>
      <c r="L302" s="428"/>
    </row>
    <row r="303" ht="15.95" customHeight="1" spans="1:12">
      <c r="A303" s="422">
        <v>284</v>
      </c>
      <c r="B303" s="423" t="e">
        <f t="shared" si="5"/>
        <v>#DIV/0!</v>
      </c>
      <c r="C303" s="424"/>
      <c r="D303" s="425"/>
      <c r="E303" s="429"/>
      <c r="F303" s="426">
        <v>284</v>
      </c>
      <c r="G303" s="427"/>
      <c r="H303" s="428"/>
      <c r="I303" s="427"/>
      <c r="J303" s="428"/>
      <c r="K303" s="427"/>
      <c r="L303" s="428"/>
    </row>
    <row r="304" ht="15.95" customHeight="1" spans="1:12">
      <c r="A304" s="422">
        <v>285</v>
      </c>
      <c r="B304" s="423" t="e">
        <f t="shared" si="5"/>
        <v>#DIV/0!</v>
      </c>
      <c r="C304" s="424"/>
      <c r="D304" s="425"/>
      <c r="E304" s="429"/>
      <c r="F304" s="426">
        <v>285</v>
      </c>
      <c r="G304" s="427"/>
      <c r="H304" s="428"/>
      <c r="I304" s="427"/>
      <c r="J304" s="428"/>
      <c r="K304" s="427"/>
      <c r="L304" s="428"/>
    </row>
    <row r="305" ht="15.95" customHeight="1" spans="1:12">
      <c r="A305" s="422">
        <v>286</v>
      </c>
      <c r="B305" s="423" t="e">
        <f t="shared" si="5"/>
        <v>#DIV/0!</v>
      </c>
      <c r="C305" s="424"/>
      <c r="D305" s="425"/>
      <c r="E305" s="429"/>
      <c r="F305" s="426">
        <v>286</v>
      </c>
      <c r="G305" s="427"/>
      <c r="H305" s="428"/>
      <c r="I305" s="427"/>
      <c r="J305" s="428"/>
      <c r="K305" s="427"/>
      <c r="L305" s="428"/>
    </row>
    <row r="306" ht="15.95" customHeight="1" spans="1:12">
      <c r="A306" s="422">
        <v>287</v>
      </c>
      <c r="B306" s="423" t="e">
        <f t="shared" si="5"/>
        <v>#DIV/0!</v>
      </c>
      <c r="C306" s="424"/>
      <c r="D306" s="425"/>
      <c r="E306" s="429"/>
      <c r="F306" s="426">
        <v>287</v>
      </c>
      <c r="G306" s="427"/>
      <c r="H306" s="428"/>
      <c r="I306" s="427"/>
      <c r="J306" s="428"/>
      <c r="K306" s="427"/>
      <c r="L306" s="428"/>
    </row>
    <row r="307" ht="15.95" customHeight="1" spans="1:12">
      <c r="A307" s="422">
        <v>288</v>
      </c>
      <c r="B307" s="423" t="e">
        <f t="shared" si="5"/>
        <v>#DIV/0!</v>
      </c>
      <c r="C307" s="424"/>
      <c r="D307" s="425"/>
      <c r="E307" s="429"/>
      <c r="F307" s="426">
        <v>288</v>
      </c>
      <c r="G307" s="427"/>
      <c r="H307" s="428"/>
      <c r="I307" s="427"/>
      <c r="J307" s="428"/>
      <c r="K307" s="427"/>
      <c r="L307" s="428"/>
    </row>
    <row r="308" ht="15.95" customHeight="1" spans="1:12">
      <c r="A308" s="422">
        <v>289</v>
      </c>
      <c r="B308" s="423" t="e">
        <f t="shared" si="5"/>
        <v>#DIV/0!</v>
      </c>
      <c r="C308" s="424"/>
      <c r="D308" s="425"/>
      <c r="E308" s="429"/>
      <c r="F308" s="426">
        <v>289</v>
      </c>
      <c r="G308" s="427"/>
      <c r="H308" s="428"/>
      <c r="I308" s="427"/>
      <c r="J308" s="428"/>
      <c r="K308" s="427"/>
      <c r="L308" s="428"/>
    </row>
    <row r="309" ht="15.95" customHeight="1" spans="1:12">
      <c r="A309" s="422">
        <v>290</v>
      </c>
      <c r="B309" s="423" t="e">
        <f t="shared" si="5"/>
        <v>#DIV/0!</v>
      </c>
      <c r="C309" s="424"/>
      <c r="D309" s="425"/>
      <c r="E309" s="429"/>
      <c r="F309" s="426">
        <v>290</v>
      </c>
      <c r="G309" s="427"/>
      <c r="H309" s="428"/>
      <c r="I309" s="427"/>
      <c r="J309" s="428"/>
      <c r="K309" s="427"/>
      <c r="L309" s="428"/>
    </row>
    <row r="310" ht="15.95" customHeight="1" spans="1:12">
      <c r="A310" s="422">
        <v>291</v>
      </c>
      <c r="B310" s="423" t="e">
        <f t="shared" si="5"/>
        <v>#DIV/0!</v>
      </c>
      <c r="C310" s="424"/>
      <c r="D310" s="425"/>
      <c r="E310" s="429"/>
      <c r="F310" s="426">
        <v>291</v>
      </c>
      <c r="G310" s="427"/>
      <c r="H310" s="428"/>
      <c r="I310" s="427"/>
      <c r="J310" s="428"/>
      <c r="K310" s="427"/>
      <c r="L310" s="428"/>
    </row>
    <row r="311" ht="15.95" customHeight="1" spans="1:12">
      <c r="A311" s="422">
        <v>292</v>
      </c>
      <c r="B311" s="423" t="e">
        <f t="shared" si="5"/>
        <v>#DIV/0!</v>
      </c>
      <c r="C311" s="424"/>
      <c r="D311" s="425"/>
      <c r="E311" s="429"/>
      <c r="F311" s="426">
        <v>292</v>
      </c>
      <c r="G311" s="427"/>
      <c r="H311" s="428"/>
      <c r="I311" s="427"/>
      <c r="J311" s="428"/>
      <c r="K311" s="427"/>
      <c r="L311" s="428"/>
    </row>
    <row r="312" ht="15.95" customHeight="1" spans="1:12">
      <c r="A312" s="422">
        <v>293</v>
      </c>
      <c r="B312" s="423" t="e">
        <f t="shared" si="5"/>
        <v>#DIV/0!</v>
      </c>
      <c r="C312" s="424"/>
      <c r="D312" s="425"/>
      <c r="E312" s="429"/>
      <c r="F312" s="426">
        <v>293</v>
      </c>
      <c r="G312" s="427"/>
      <c r="H312" s="428"/>
      <c r="I312" s="427"/>
      <c r="J312" s="428"/>
      <c r="K312" s="427"/>
      <c r="L312" s="428"/>
    </row>
    <row r="313" ht="15.95" customHeight="1" spans="1:12">
      <c r="A313" s="422">
        <v>294</v>
      </c>
      <c r="B313" s="423" t="e">
        <f t="shared" si="5"/>
        <v>#DIV/0!</v>
      </c>
      <c r="C313" s="424"/>
      <c r="D313" s="425"/>
      <c r="E313" s="429"/>
      <c r="F313" s="426">
        <v>294</v>
      </c>
      <c r="G313" s="427"/>
      <c r="H313" s="428"/>
      <c r="I313" s="427"/>
      <c r="J313" s="428"/>
      <c r="K313" s="427"/>
      <c r="L313" s="428"/>
    </row>
    <row r="314" ht="15.95" customHeight="1" spans="1:12">
      <c r="A314" s="422">
        <v>295</v>
      </c>
      <c r="B314" s="423" t="e">
        <f t="shared" si="5"/>
        <v>#DIV/0!</v>
      </c>
      <c r="C314" s="424"/>
      <c r="D314" s="425"/>
      <c r="E314" s="429"/>
      <c r="F314" s="426">
        <v>295</v>
      </c>
      <c r="G314" s="427"/>
      <c r="H314" s="428"/>
      <c r="I314" s="427"/>
      <c r="J314" s="428"/>
      <c r="K314" s="427"/>
      <c r="L314" s="428"/>
    </row>
    <row r="315" ht="15.95" customHeight="1" spans="1:12">
      <c r="A315" s="422">
        <v>296</v>
      </c>
      <c r="B315" s="423" t="e">
        <f t="shared" si="5"/>
        <v>#DIV/0!</v>
      </c>
      <c r="C315" s="424"/>
      <c r="D315" s="425"/>
      <c r="E315" s="429"/>
      <c r="F315" s="426">
        <v>296</v>
      </c>
      <c r="G315" s="427"/>
      <c r="H315" s="428"/>
      <c r="I315" s="427"/>
      <c r="J315" s="428"/>
      <c r="K315" s="427"/>
      <c r="L315" s="428"/>
    </row>
    <row r="316" ht="15.95" customHeight="1" spans="1:12">
      <c r="A316" s="422">
        <v>297</v>
      </c>
      <c r="B316" s="423" t="e">
        <f t="shared" si="5"/>
        <v>#DIV/0!</v>
      </c>
      <c r="C316" s="424"/>
      <c r="D316" s="425"/>
      <c r="E316" s="429"/>
      <c r="F316" s="426">
        <v>297</v>
      </c>
      <c r="G316" s="427"/>
      <c r="H316" s="428"/>
      <c r="I316" s="427"/>
      <c r="J316" s="428"/>
      <c r="K316" s="427"/>
      <c r="L316" s="428"/>
    </row>
    <row r="317" ht="15.95" customHeight="1" spans="1:12">
      <c r="A317" s="422">
        <v>298</v>
      </c>
      <c r="B317" s="423" t="e">
        <f t="shared" si="5"/>
        <v>#DIV/0!</v>
      </c>
      <c r="C317" s="424"/>
      <c r="D317" s="425"/>
      <c r="E317" s="429"/>
      <c r="F317" s="426">
        <v>298</v>
      </c>
      <c r="G317" s="427"/>
      <c r="H317" s="428"/>
      <c r="I317" s="427"/>
      <c r="J317" s="428"/>
      <c r="K317" s="427"/>
      <c r="L317" s="428"/>
    </row>
    <row r="318" ht="15.95" customHeight="1" spans="1:12">
      <c r="A318" s="422">
        <v>299</v>
      </c>
      <c r="B318" s="423" t="e">
        <f t="shared" si="5"/>
        <v>#DIV/0!</v>
      </c>
      <c r="C318" s="424"/>
      <c r="D318" s="425"/>
      <c r="E318" s="429"/>
      <c r="F318" s="426">
        <v>299</v>
      </c>
      <c r="G318" s="427"/>
      <c r="H318" s="428"/>
      <c r="I318" s="427"/>
      <c r="J318" s="428"/>
      <c r="K318" s="427"/>
      <c r="L318" s="428"/>
    </row>
    <row r="319" ht="15.95" customHeight="1" spans="1:12">
      <c r="A319" s="422">
        <v>300</v>
      </c>
      <c r="B319" s="423" t="e">
        <f t="shared" si="5"/>
        <v>#DIV/0!</v>
      </c>
      <c r="C319" s="424"/>
      <c r="D319" s="425"/>
      <c r="E319" s="429"/>
      <c r="F319" s="426">
        <v>300</v>
      </c>
      <c r="G319" s="427"/>
      <c r="H319" s="428"/>
      <c r="I319" s="427"/>
      <c r="J319" s="428"/>
      <c r="K319" s="427"/>
      <c r="L319" s="428"/>
    </row>
    <row r="320" ht="15.95" customHeight="1" spans="1:12">
      <c r="A320" s="422">
        <v>301</v>
      </c>
      <c r="B320" s="423" t="e">
        <f t="shared" si="5"/>
        <v>#DIV/0!</v>
      </c>
      <c r="C320" s="424"/>
      <c r="D320" s="425"/>
      <c r="E320" s="429"/>
      <c r="F320" s="426">
        <v>301</v>
      </c>
      <c r="G320" s="427"/>
      <c r="H320" s="428"/>
      <c r="I320" s="427"/>
      <c r="J320" s="428"/>
      <c r="K320" s="427"/>
      <c r="L320" s="428"/>
    </row>
    <row r="321" ht="15.95" customHeight="1" spans="1:12">
      <c r="A321" s="422">
        <v>302</v>
      </c>
      <c r="B321" s="423" t="e">
        <f t="shared" si="5"/>
        <v>#DIV/0!</v>
      </c>
      <c r="C321" s="424"/>
      <c r="D321" s="425"/>
      <c r="E321" s="429"/>
      <c r="F321" s="426">
        <v>302</v>
      </c>
      <c r="G321" s="427"/>
      <c r="H321" s="428"/>
      <c r="I321" s="427"/>
      <c r="J321" s="428"/>
      <c r="K321" s="427"/>
      <c r="L321" s="428"/>
    </row>
    <row r="322" ht="15.95" customHeight="1" spans="1:12">
      <c r="A322" s="422">
        <v>303</v>
      </c>
      <c r="B322" s="423" t="e">
        <f t="shared" si="5"/>
        <v>#DIV/0!</v>
      </c>
      <c r="C322" s="424"/>
      <c r="D322" s="425"/>
      <c r="E322" s="429"/>
      <c r="F322" s="426">
        <v>303</v>
      </c>
      <c r="G322" s="427"/>
      <c r="H322" s="428"/>
      <c r="I322" s="427"/>
      <c r="J322" s="428"/>
      <c r="K322" s="427"/>
      <c r="L322" s="428"/>
    </row>
    <row r="323" ht="15.95" customHeight="1" spans="1:12">
      <c r="A323" s="422">
        <v>304</v>
      </c>
      <c r="B323" s="423" t="e">
        <f t="shared" si="5"/>
        <v>#DIV/0!</v>
      </c>
      <c r="C323" s="424"/>
      <c r="D323" s="425"/>
      <c r="E323" s="429"/>
      <c r="F323" s="426">
        <v>304</v>
      </c>
      <c r="G323" s="427"/>
      <c r="H323" s="428"/>
      <c r="I323" s="427"/>
      <c r="J323" s="428"/>
      <c r="K323" s="427"/>
      <c r="L323" s="428"/>
    </row>
    <row r="324" ht="15.95" customHeight="1" spans="1:12">
      <c r="A324" s="422">
        <v>305</v>
      </c>
      <c r="B324" s="423" t="e">
        <f t="shared" si="5"/>
        <v>#DIV/0!</v>
      </c>
      <c r="C324" s="424"/>
      <c r="D324" s="425"/>
      <c r="E324" s="429"/>
      <c r="F324" s="426">
        <v>305</v>
      </c>
      <c r="G324" s="427"/>
      <c r="H324" s="428"/>
      <c r="I324" s="427"/>
      <c r="J324" s="428"/>
      <c r="K324" s="427"/>
      <c r="L324" s="428"/>
    </row>
    <row r="325" ht="15.95" customHeight="1" spans="1:12">
      <c r="A325" s="422">
        <v>306</v>
      </c>
      <c r="B325" s="423" t="e">
        <f t="shared" si="5"/>
        <v>#DIV/0!</v>
      </c>
      <c r="C325" s="424"/>
      <c r="D325" s="425"/>
      <c r="E325" s="429"/>
      <c r="F325" s="426">
        <v>306</v>
      </c>
      <c r="G325" s="427"/>
      <c r="H325" s="428"/>
      <c r="I325" s="427"/>
      <c r="J325" s="428"/>
      <c r="K325" s="427"/>
      <c r="L325" s="428"/>
    </row>
    <row r="326" ht="15.95" customHeight="1" spans="1:12">
      <c r="A326" s="422">
        <v>307</v>
      </c>
      <c r="B326" s="423" t="e">
        <f t="shared" si="5"/>
        <v>#DIV/0!</v>
      </c>
      <c r="C326" s="424"/>
      <c r="D326" s="425"/>
      <c r="E326" s="429"/>
      <c r="F326" s="426">
        <v>307</v>
      </c>
      <c r="G326" s="427"/>
      <c r="H326" s="428"/>
      <c r="I326" s="427"/>
      <c r="J326" s="428"/>
      <c r="K326" s="427"/>
      <c r="L326" s="428"/>
    </row>
    <row r="327" ht="15.95" customHeight="1" spans="1:12">
      <c r="A327" s="422">
        <v>308</v>
      </c>
      <c r="B327" s="423" t="e">
        <f t="shared" si="5"/>
        <v>#DIV/0!</v>
      </c>
      <c r="C327" s="424"/>
      <c r="D327" s="425"/>
      <c r="E327" s="429"/>
      <c r="F327" s="426">
        <v>308</v>
      </c>
      <c r="G327" s="427"/>
      <c r="H327" s="428"/>
      <c r="I327" s="427"/>
      <c r="J327" s="428"/>
      <c r="K327" s="427"/>
      <c r="L327" s="428"/>
    </row>
    <row r="328" ht="15.95" customHeight="1" spans="1:12">
      <c r="A328" s="422">
        <v>309</v>
      </c>
      <c r="B328" s="423" t="e">
        <f t="shared" si="5"/>
        <v>#DIV/0!</v>
      </c>
      <c r="C328" s="424"/>
      <c r="D328" s="425"/>
      <c r="E328" s="429"/>
      <c r="F328" s="426">
        <v>309</v>
      </c>
      <c r="G328" s="427"/>
      <c r="H328" s="428"/>
      <c r="I328" s="427"/>
      <c r="J328" s="428"/>
      <c r="K328" s="427"/>
      <c r="L328" s="428"/>
    </row>
    <row r="329" ht="15.95" customHeight="1" spans="1:12">
      <c r="A329" s="422">
        <v>310</v>
      </c>
      <c r="B329" s="423" t="e">
        <f t="shared" si="5"/>
        <v>#DIV/0!</v>
      </c>
      <c r="C329" s="424"/>
      <c r="D329" s="425"/>
      <c r="E329" s="429"/>
      <c r="F329" s="426">
        <v>310</v>
      </c>
      <c r="G329" s="427"/>
      <c r="H329" s="428"/>
      <c r="I329" s="427"/>
      <c r="J329" s="428"/>
      <c r="K329" s="427"/>
      <c r="L329" s="428"/>
    </row>
    <row r="330" ht="15.95" customHeight="1" spans="1:12">
      <c r="A330" s="422">
        <v>311</v>
      </c>
      <c r="B330" s="423" t="e">
        <f t="shared" si="5"/>
        <v>#DIV/0!</v>
      </c>
      <c r="C330" s="424"/>
      <c r="D330" s="425"/>
      <c r="E330" s="429"/>
      <c r="F330" s="426">
        <v>311</v>
      </c>
      <c r="G330" s="427"/>
      <c r="H330" s="428"/>
      <c r="I330" s="427"/>
      <c r="J330" s="428"/>
      <c r="K330" s="427"/>
      <c r="L330" s="428"/>
    </row>
    <row r="331" ht="15.95" customHeight="1" spans="1:12">
      <c r="A331" s="422">
        <v>312</v>
      </c>
      <c r="B331" s="423" t="e">
        <f t="shared" si="5"/>
        <v>#DIV/0!</v>
      </c>
      <c r="C331" s="424"/>
      <c r="D331" s="425"/>
      <c r="E331" s="429"/>
      <c r="F331" s="426">
        <v>312</v>
      </c>
      <c r="G331" s="427"/>
      <c r="H331" s="428"/>
      <c r="I331" s="427"/>
      <c r="J331" s="428"/>
      <c r="K331" s="427"/>
      <c r="L331" s="428"/>
    </row>
    <row r="332" ht="15.95" customHeight="1" spans="1:12">
      <c r="A332" s="422">
        <v>313</v>
      </c>
      <c r="B332" s="423" t="e">
        <f t="shared" si="5"/>
        <v>#DIV/0!</v>
      </c>
      <c r="C332" s="424"/>
      <c r="D332" s="425"/>
      <c r="E332" s="429"/>
      <c r="F332" s="426">
        <v>313</v>
      </c>
      <c r="G332" s="427"/>
      <c r="H332" s="428"/>
      <c r="I332" s="427"/>
      <c r="J332" s="428"/>
      <c r="K332" s="427"/>
      <c r="L332" s="428"/>
    </row>
    <row r="333" ht="15.95" customHeight="1" spans="1:12">
      <c r="A333" s="422">
        <v>314</v>
      </c>
      <c r="B333" s="423" t="e">
        <f t="shared" si="5"/>
        <v>#DIV/0!</v>
      </c>
      <c r="C333" s="424"/>
      <c r="D333" s="425"/>
      <c r="E333" s="429"/>
      <c r="F333" s="426">
        <v>314</v>
      </c>
      <c r="G333" s="427"/>
      <c r="H333" s="428"/>
      <c r="I333" s="427"/>
      <c r="J333" s="428"/>
      <c r="K333" s="427"/>
      <c r="L333" s="428"/>
    </row>
    <row r="334" ht="15.95" customHeight="1" spans="1:12">
      <c r="A334" s="422">
        <v>315</v>
      </c>
      <c r="B334" s="423" t="e">
        <f t="shared" si="5"/>
        <v>#DIV/0!</v>
      </c>
      <c r="C334" s="424"/>
      <c r="D334" s="425"/>
      <c r="E334" s="429"/>
      <c r="F334" s="426">
        <v>315</v>
      </c>
      <c r="G334" s="427"/>
      <c r="H334" s="428"/>
      <c r="I334" s="427"/>
      <c r="J334" s="428"/>
      <c r="K334" s="427"/>
      <c r="L334" s="428"/>
    </row>
    <row r="335" ht="15.95" customHeight="1" spans="1:12">
      <c r="A335" s="422">
        <v>316</v>
      </c>
      <c r="B335" s="423" t="e">
        <f t="shared" si="5"/>
        <v>#DIV/0!</v>
      </c>
      <c r="C335" s="424"/>
      <c r="D335" s="425"/>
      <c r="E335" s="429"/>
      <c r="F335" s="426">
        <v>316</v>
      </c>
      <c r="G335" s="427"/>
      <c r="H335" s="428"/>
      <c r="I335" s="427"/>
      <c r="J335" s="428"/>
      <c r="K335" s="427"/>
      <c r="L335" s="428"/>
    </row>
    <row r="336" ht="15.95" customHeight="1" spans="1:12">
      <c r="A336" s="422">
        <v>317</v>
      </c>
      <c r="B336" s="423" t="e">
        <f t="shared" si="5"/>
        <v>#DIV/0!</v>
      </c>
      <c r="C336" s="424"/>
      <c r="D336" s="425"/>
      <c r="E336" s="429"/>
      <c r="F336" s="426">
        <v>317</v>
      </c>
      <c r="G336" s="427"/>
      <c r="H336" s="428"/>
      <c r="I336" s="427"/>
      <c r="J336" s="428"/>
      <c r="K336" s="427"/>
      <c r="L336" s="428"/>
    </row>
    <row r="337" ht="15.95" customHeight="1" spans="1:12">
      <c r="A337" s="422">
        <v>318</v>
      </c>
      <c r="B337" s="423" t="e">
        <f t="shared" si="5"/>
        <v>#DIV/0!</v>
      </c>
      <c r="C337" s="424"/>
      <c r="D337" s="425"/>
      <c r="E337" s="429"/>
      <c r="F337" s="426">
        <v>318</v>
      </c>
      <c r="G337" s="427"/>
      <c r="H337" s="428"/>
      <c r="I337" s="427"/>
      <c r="J337" s="428"/>
      <c r="K337" s="427"/>
      <c r="L337" s="428"/>
    </row>
    <row r="338" ht="15.95" customHeight="1" spans="1:12">
      <c r="A338" s="422">
        <v>319</v>
      </c>
      <c r="B338" s="423" t="e">
        <f t="shared" si="5"/>
        <v>#DIV/0!</v>
      </c>
      <c r="C338" s="424"/>
      <c r="D338" s="425"/>
      <c r="E338" s="429"/>
      <c r="F338" s="426">
        <v>319</v>
      </c>
      <c r="G338" s="427"/>
      <c r="H338" s="428"/>
      <c r="I338" s="427"/>
      <c r="J338" s="428"/>
      <c r="K338" s="427"/>
      <c r="L338" s="428"/>
    </row>
    <row r="339" ht="15.95" customHeight="1" spans="1:12">
      <c r="A339" s="422">
        <v>320</v>
      </c>
      <c r="B339" s="423" t="e">
        <f t="shared" si="5"/>
        <v>#DIV/0!</v>
      </c>
      <c r="C339" s="424"/>
      <c r="D339" s="425"/>
      <c r="E339" s="429"/>
      <c r="F339" s="426">
        <v>320</v>
      </c>
      <c r="G339" s="427"/>
      <c r="H339" s="428"/>
      <c r="I339" s="427"/>
      <c r="J339" s="428"/>
      <c r="K339" s="427"/>
      <c r="L339" s="428"/>
    </row>
    <row r="340" ht="15.95" customHeight="1" spans="1:12">
      <c r="A340" s="422">
        <v>321</v>
      </c>
      <c r="B340" s="423" t="e">
        <f t="shared" ref="B340:B403" si="6">AVERAGE(G340:L340)</f>
        <v>#DIV/0!</v>
      </c>
      <c r="C340" s="424"/>
      <c r="D340" s="425"/>
      <c r="E340" s="429"/>
      <c r="F340" s="426">
        <v>321</v>
      </c>
      <c r="G340" s="427"/>
      <c r="H340" s="428"/>
      <c r="I340" s="427"/>
      <c r="J340" s="428"/>
      <c r="K340" s="427"/>
      <c r="L340" s="428"/>
    </row>
    <row r="341" ht="15.95" customHeight="1" spans="1:12">
      <c r="A341" s="422">
        <v>322</v>
      </c>
      <c r="B341" s="423" t="e">
        <f t="shared" si="6"/>
        <v>#DIV/0!</v>
      </c>
      <c r="C341" s="424"/>
      <c r="D341" s="425"/>
      <c r="E341" s="429"/>
      <c r="F341" s="426">
        <v>322</v>
      </c>
      <c r="G341" s="427"/>
      <c r="H341" s="428"/>
      <c r="I341" s="427"/>
      <c r="J341" s="428"/>
      <c r="K341" s="427"/>
      <c r="L341" s="428"/>
    </row>
    <row r="342" ht="15.95" customHeight="1" spans="1:12">
      <c r="A342" s="422">
        <v>323</v>
      </c>
      <c r="B342" s="423" t="e">
        <f t="shared" si="6"/>
        <v>#DIV/0!</v>
      </c>
      <c r="C342" s="424"/>
      <c r="D342" s="425"/>
      <c r="E342" s="429"/>
      <c r="F342" s="426">
        <v>323</v>
      </c>
      <c r="G342" s="427"/>
      <c r="H342" s="428"/>
      <c r="I342" s="427"/>
      <c r="J342" s="428"/>
      <c r="K342" s="427"/>
      <c r="L342" s="428"/>
    </row>
    <row r="343" ht="15.95" customHeight="1" spans="1:12">
      <c r="A343" s="422">
        <v>324</v>
      </c>
      <c r="B343" s="423" t="e">
        <f t="shared" si="6"/>
        <v>#DIV/0!</v>
      </c>
      <c r="C343" s="424"/>
      <c r="D343" s="425"/>
      <c r="E343" s="429"/>
      <c r="F343" s="426">
        <v>324</v>
      </c>
      <c r="G343" s="427"/>
      <c r="H343" s="428"/>
      <c r="I343" s="427"/>
      <c r="J343" s="428"/>
      <c r="K343" s="427"/>
      <c r="L343" s="428"/>
    </row>
    <row r="344" ht="15.95" customHeight="1" spans="1:12">
      <c r="A344" s="422">
        <v>325</v>
      </c>
      <c r="B344" s="423" t="e">
        <f t="shared" si="6"/>
        <v>#DIV/0!</v>
      </c>
      <c r="C344" s="424"/>
      <c r="D344" s="425"/>
      <c r="E344" s="429"/>
      <c r="F344" s="426">
        <v>325</v>
      </c>
      <c r="G344" s="427"/>
      <c r="H344" s="428"/>
      <c r="I344" s="427"/>
      <c r="J344" s="428"/>
      <c r="K344" s="427"/>
      <c r="L344" s="428"/>
    </row>
    <row r="345" ht="15.95" customHeight="1" spans="1:12">
      <c r="A345" s="422">
        <v>326</v>
      </c>
      <c r="B345" s="423" t="e">
        <f t="shared" si="6"/>
        <v>#DIV/0!</v>
      </c>
      <c r="C345" s="424"/>
      <c r="D345" s="425"/>
      <c r="E345" s="429"/>
      <c r="F345" s="426">
        <v>326</v>
      </c>
      <c r="G345" s="427"/>
      <c r="H345" s="428"/>
      <c r="I345" s="427"/>
      <c r="J345" s="428"/>
      <c r="K345" s="427"/>
      <c r="L345" s="428"/>
    </row>
    <row r="346" ht="15.95" customHeight="1" spans="1:12">
      <c r="A346" s="422">
        <v>327</v>
      </c>
      <c r="B346" s="423" t="e">
        <f t="shared" si="6"/>
        <v>#DIV/0!</v>
      </c>
      <c r="C346" s="424"/>
      <c r="D346" s="425"/>
      <c r="E346" s="429"/>
      <c r="F346" s="426">
        <v>327</v>
      </c>
      <c r="G346" s="427"/>
      <c r="H346" s="428"/>
      <c r="I346" s="427"/>
      <c r="J346" s="428"/>
      <c r="K346" s="427"/>
      <c r="L346" s="428"/>
    </row>
    <row r="347" ht="15.95" customHeight="1" spans="1:12">
      <c r="A347" s="422">
        <v>328</v>
      </c>
      <c r="B347" s="423" t="e">
        <f t="shared" si="6"/>
        <v>#DIV/0!</v>
      </c>
      <c r="C347" s="424"/>
      <c r="D347" s="425"/>
      <c r="E347" s="429"/>
      <c r="F347" s="426">
        <v>328</v>
      </c>
      <c r="G347" s="427"/>
      <c r="H347" s="428"/>
      <c r="I347" s="427"/>
      <c r="J347" s="428"/>
      <c r="K347" s="427"/>
      <c r="L347" s="428"/>
    </row>
    <row r="348" ht="15.95" customHeight="1" spans="1:12">
      <c r="A348" s="422">
        <v>329</v>
      </c>
      <c r="B348" s="423" t="e">
        <f t="shared" si="6"/>
        <v>#DIV/0!</v>
      </c>
      <c r="C348" s="424"/>
      <c r="D348" s="425"/>
      <c r="E348" s="429"/>
      <c r="F348" s="426">
        <v>329</v>
      </c>
      <c r="G348" s="427"/>
      <c r="H348" s="428"/>
      <c r="I348" s="427"/>
      <c r="J348" s="428"/>
      <c r="K348" s="427"/>
      <c r="L348" s="428"/>
    </row>
    <row r="349" ht="15.95" customHeight="1" spans="1:12">
      <c r="A349" s="422">
        <v>330</v>
      </c>
      <c r="B349" s="423" t="e">
        <f t="shared" si="6"/>
        <v>#DIV/0!</v>
      </c>
      <c r="C349" s="424"/>
      <c r="D349" s="425"/>
      <c r="E349" s="429"/>
      <c r="F349" s="426">
        <v>330</v>
      </c>
      <c r="G349" s="427"/>
      <c r="H349" s="428"/>
      <c r="I349" s="427"/>
      <c r="J349" s="428"/>
      <c r="K349" s="427"/>
      <c r="L349" s="428"/>
    </row>
    <row r="350" ht="15.95" customHeight="1" spans="1:12">
      <c r="A350" s="422">
        <v>331</v>
      </c>
      <c r="B350" s="423" t="e">
        <f t="shared" si="6"/>
        <v>#DIV/0!</v>
      </c>
      <c r="C350" s="424"/>
      <c r="D350" s="425"/>
      <c r="E350" s="429"/>
      <c r="F350" s="426">
        <v>331</v>
      </c>
      <c r="G350" s="427"/>
      <c r="H350" s="428"/>
      <c r="I350" s="427"/>
      <c r="J350" s="428"/>
      <c r="K350" s="427"/>
      <c r="L350" s="428"/>
    </row>
    <row r="351" ht="15.95" customHeight="1" spans="1:12">
      <c r="A351" s="422">
        <v>332</v>
      </c>
      <c r="B351" s="423" t="e">
        <f t="shared" si="6"/>
        <v>#DIV/0!</v>
      </c>
      <c r="C351" s="424"/>
      <c r="D351" s="425"/>
      <c r="E351" s="429"/>
      <c r="F351" s="426">
        <v>332</v>
      </c>
      <c r="G351" s="427"/>
      <c r="H351" s="428"/>
      <c r="I351" s="427"/>
      <c r="J351" s="428"/>
      <c r="K351" s="427"/>
      <c r="L351" s="428"/>
    </row>
    <row r="352" ht="15.95" customHeight="1" spans="1:12">
      <c r="A352" s="422">
        <v>333</v>
      </c>
      <c r="B352" s="423" t="e">
        <f t="shared" si="6"/>
        <v>#DIV/0!</v>
      </c>
      <c r="C352" s="424"/>
      <c r="D352" s="425"/>
      <c r="E352" s="429"/>
      <c r="F352" s="426">
        <v>333</v>
      </c>
      <c r="G352" s="427"/>
      <c r="H352" s="428"/>
      <c r="I352" s="427"/>
      <c r="J352" s="428"/>
      <c r="K352" s="427"/>
      <c r="L352" s="428"/>
    </row>
    <row r="353" ht="15.95" customHeight="1" spans="1:12">
      <c r="A353" s="422">
        <v>334</v>
      </c>
      <c r="B353" s="423" t="e">
        <f t="shared" si="6"/>
        <v>#DIV/0!</v>
      </c>
      <c r="C353" s="424"/>
      <c r="D353" s="425"/>
      <c r="E353" s="429"/>
      <c r="F353" s="426">
        <v>334</v>
      </c>
      <c r="G353" s="427"/>
      <c r="H353" s="428"/>
      <c r="I353" s="427"/>
      <c r="J353" s="428"/>
      <c r="K353" s="427"/>
      <c r="L353" s="428"/>
    </row>
    <row r="354" ht="15.95" customHeight="1" spans="1:12">
      <c r="A354" s="422">
        <v>335</v>
      </c>
      <c r="B354" s="423" t="e">
        <f t="shared" si="6"/>
        <v>#DIV/0!</v>
      </c>
      <c r="C354" s="424"/>
      <c r="D354" s="425"/>
      <c r="E354" s="429"/>
      <c r="F354" s="426">
        <v>335</v>
      </c>
      <c r="G354" s="427"/>
      <c r="H354" s="428"/>
      <c r="I354" s="427"/>
      <c r="J354" s="428"/>
      <c r="K354" s="427"/>
      <c r="L354" s="428"/>
    </row>
    <row r="355" ht="15.95" customHeight="1" spans="1:12">
      <c r="A355" s="422">
        <v>336</v>
      </c>
      <c r="B355" s="423" t="e">
        <f t="shared" si="6"/>
        <v>#DIV/0!</v>
      </c>
      <c r="C355" s="424"/>
      <c r="D355" s="425"/>
      <c r="E355" s="429"/>
      <c r="F355" s="426">
        <v>336</v>
      </c>
      <c r="G355" s="427"/>
      <c r="H355" s="428"/>
      <c r="I355" s="427"/>
      <c r="J355" s="428"/>
      <c r="K355" s="427"/>
      <c r="L355" s="428"/>
    </row>
    <row r="356" ht="15.95" customHeight="1" spans="1:12">
      <c r="A356" s="422">
        <v>337</v>
      </c>
      <c r="B356" s="423" t="e">
        <f t="shared" si="6"/>
        <v>#DIV/0!</v>
      </c>
      <c r="C356" s="424"/>
      <c r="D356" s="425"/>
      <c r="E356" s="429"/>
      <c r="F356" s="426">
        <v>337</v>
      </c>
      <c r="G356" s="427"/>
      <c r="H356" s="428"/>
      <c r="I356" s="427"/>
      <c r="J356" s="428"/>
      <c r="K356" s="427"/>
      <c r="L356" s="428"/>
    </row>
    <row r="357" ht="15.95" customHeight="1" spans="1:12">
      <c r="A357" s="422">
        <v>338</v>
      </c>
      <c r="B357" s="423" t="e">
        <f t="shared" si="6"/>
        <v>#DIV/0!</v>
      </c>
      <c r="C357" s="424"/>
      <c r="D357" s="425"/>
      <c r="E357" s="429"/>
      <c r="F357" s="426">
        <v>338</v>
      </c>
      <c r="G357" s="427"/>
      <c r="H357" s="428"/>
      <c r="I357" s="427"/>
      <c r="J357" s="428"/>
      <c r="K357" s="427"/>
      <c r="L357" s="428"/>
    </row>
    <row r="358" ht="15.95" customHeight="1" spans="1:12">
      <c r="A358" s="422">
        <v>339</v>
      </c>
      <c r="B358" s="423" t="e">
        <f t="shared" si="6"/>
        <v>#DIV/0!</v>
      </c>
      <c r="C358" s="424"/>
      <c r="D358" s="425"/>
      <c r="E358" s="429"/>
      <c r="F358" s="426">
        <v>339</v>
      </c>
      <c r="G358" s="427"/>
      <c r="H358" s="428"/>
      <c r="I358" s="427"/>
      <c r="J358" s="428"/>
      <c r="K358" s="427"/>
      <c r="L358" s="428"/>
    </row>
    <row r="359" ht="15.95" customHeight="1" spans="1:12">
      <c r="A359" s="422">
        <v>340</v>
      </c>
      <c r="B359" s="423" t="e">
        <f t="shared" si="6"/>
        <v>#DIV/0!</v>
      </c>
      <c r="C359" s="424"/>
      <c r="D359" s="425"/>
      <c r="E359" s="429"/>
      <c r="F359" s="426">
        <v>340</v>
      </c>
      <c r="G359" s="427"/>
      <c r="H359" s="428"/>
      <c r="I359" s="427"/>
      <c r="J359" s="428"/>
      <c r="K359" s="427"/>
      <c r="L359" s="428"/>
    </row>
    <row r="360" ht="15.95" customHeight="1" spans="1:12">
      <c r="A360" s="422">
        <v>341</v>
      </c>
      <c r="B360" s="423" t="e">
        <f t="shared" si="6"/>
        <v>#DIV/0!</v>
      </c>
      <c r="C360" s="424"/>
      <c r="D360" s="425"/>
      <c r="E360" s="429"/>
      <c r="F360" s="426">
        <v>341</v>
      </c>
      <c r="G360" s="427"/>
      <c r="H360" s="428"/>
      <c r="I360" s="427"/>
      <c r="J360" s="428"/>
      <c r="K360" s="427"/>
      <c r="L360" s="428"/>
    </row>
    <row r="361" ht="15.95" customHeight="1" spans="1:12">
      <c r="A361" s="422">
        <v>342</v>
      </c>
      <c r="B361" s="423" t="e">
        <f t="shared" si="6"/>
        <v>#DIV/0!</v>
      </c>
      <c r="C361" s="424"/>
      <c r="D361" s="425"/>
      <c r="E361" s="429"/>
      <c r="F361" s="426">
        <v>342</v>
      </c>
      <c r="G361" s="427"/>
      <c r="H361" s="428"/>
      <c r="I361" s="427"/>
      <c r="J361" s="428"/>
      <c r="K361" s="427"/>
      <c r="L361" s="428"/>
    </row>
    <row r="362" ht="15.95" customHeight="1" spans="1:12">
      <c r="A362" s="422">
        <v>343</v>
      </c>
      <c r="B362" s="423" t="e">
        <f t="shared" si="6"/>
        <v>#DIV/0!</v>
      </c>
      <c r="C362" s="424"/>
      <c r="D362" s="425"/>
      <c r="E362" s="429"/>
      <c r="F362" s="426">
        <v>343</v>
      </c>
      <c r="G362" s="427"/>
      <c r="H362" s="428"/>
      <c r="I362" s="427"/>
      <c r="J362" s="428"/>
      <c r="K362" s="427"/>
      <c r="L362" s="428"/>
    </row>
    <row r="363" ht="15.95" customHeight="1" spans="1:12">
      <c r="A363" s="422">
        <v>344</v>
      </c>
      <c r="B363" s="423" t="e">
        <f t="shared" si="6"/>
        <v>#DIV/0!</v>
      </c>
      <c r="C363" s="424"/>
      <c r="D363" s="425"/>
      <c r="E363" s="429"/>
      <c r="F363" s="426">
        <v>344</v>
      </c>
      <c r="G363" s="427"/>
      <c r="H363" s="428"/>
      <c r="I363" s="427"/>
      <c r="J363" s="428"/>
      <c r="K363" s="427"/>
      <c r="L363" s="428"/>
    </row>
    <row r="364" ht="15.95" customHeight="1" spans="1:12">
      <c r="A364" s="422">
        <v>345</v>
      </c>
      <c r="B364" s="423" t="e">
        <f t="shared" si="6"/>
        <v>#DIV/0!</v>
      </c>
      <c r="C364" s="424"/>
      <c r="D364" s="425"/>
      <c r="E364" s="429"/>
      <c r="F364" s="426">
        <v>345</v>
      </c>
      <c r="G364" s="427"/>
      <c r="H364" s="428"/>
      <c r="I364" s="427"/>
      <c r="J364" s="428"/>
      <c r="K364" s="427"/>
      <c r="L364" s="428"/>
    </row>
    <row r="365" ht="15.95" customHeight="1" spans="1:12">
      <c r="A365" s="422">
        <v>346</v>
      </c>
      <c r="B365" s="423" t="e">
        <f t="shared" si="6"/>
        <v>#DIV/0!</v>
      </c>
      <c r="C365" s="424"/>
      <c r="D365" s="425"/>
      <c r="E365" s="429"/>
      <c r="F365" s="426">
        <v>346</v>
      </c>
      <c r="G365" s="427"/>
      <c r="H365" s="428"/>
      <c r="I365" s="427"/>
      <c r="J365" s="428"/>
      <c r="K365" s="427"/>
      <c r="L365" s="428"/>
    </row>
    <row r="366" ht="15.95" customHeight="1" spans="1:12">
      <c r="A366" s="422">
        <v>347</v>
      </c>
      <c r="B366" s="423" t="e">
        <f t="shared" si="6"/>
        <v>#DIV/0!</v>
      </c>
      <c r="C366" s="424"/>
      <c r="D366" s="425"/>
      <c r="E366" s="429"/>
      <c r="F366" s="426">
        <v>347</v>
      </c>
      <c r="G366" s="427"/>
      <c r="H366" s="428"/>
      <c r="I366" s="427"/>
      <c r="J366" s="428"/>
      <c r="K366" s="427"/>
      <c r="L366" s="428"/>
    </row>
    <row r="367" ht="15.95" customHeight="1" spans="1:12">
      <c r="A367" s="422">
        <v>348</v>
      </c>
      <c r="B367" s="423" t="e">
        <f t="shared" si="6"/>
        <v>#DIV/0!</v>
      </c>
      <c r="C367" s="424"/>
      <c r="D367" s="425"/>
      <c r="E367" s="429"/>
      <c r="F367" s="426">
        <v>348</v>
      </c>
      <c r="G367" s="427"/>
      <c r="H367" s="428"/>
      <c r="I367" s="427"/>
      <c r="J367" s="428"/>
      <c r="K367" s="427"/>
      <c r="L367" s="428"/>
    </row>
    <row r="368" ht="15.95" customHeight="1" spans="1:12">
      <c r="A368" s="422">
        <v>349</v>
      </c>
      <c r="B368" s="423" t="e">
        <f t="shared" si="6"/>
        <v>#DIV/0!</v>
      </c>
      <c r="C368" s="424"/>
      <c r="D368" s="425"/>
      <c r="E368" s="429"/>
      <c r="F368" s="426">
        <v>349</v>
      </c>
      <c r="G368" s="427"/>
      <c r="H368" s="428"/>
      <c r="I368" s="427"/>
      <c r="J368" s="428"/>
      <c r="K368" s="427"/>
      <c r="L368" s="428"/>
    </row>
    <row r="369" ht="15.95" customHeight="1" spans="1:12">
      <c r="A369" s="422">
        <v>350</v>
      </c>
      <c r="B369" s="423" t="e">
        <f t="shared" si="6"/>
        <v>#DIV/0!</v>
      </c>
      <c r="C369" s="424"/>
      <c r="D369" s="425"/>
      <c r="E369" s="429"/>
      <c r="F369" s="426">
        <v>350</v>
      </c>
      <c r="G369" s="427"/>
      <c r="H369" s="428"/>
      <c r="I369" s="427"/>
      <c r="J369" s="428"/>
      <c r="K369" s="427"/>
      <c r="L369" s="428"/>
    </row>
    <row r="370" ht="15.95" customHeight="1" spans="1:12">
      <c r="A370" s="422">
        <v>351</v>
      </c>
      <c r="B370" s="423" t="e">
        <f t="shared" si="6"/>
        <v>#DIV/0!</v>
      </c>
      <c r="C370" s="424"/>
      <c r="D370" s="425"/>
      <c r="E370" s="429"/>
      <c r="F370" s="426">
        <v>351</v>
      </c>
      <c r="G370" s="427"/>
      <c r="H370" s="428"/>
      <c r="I370" s="427"/>
      <c r="J370" s="428"/>
      <c r="K370" s="427"/>
      <c r="L370" s="428"/>
    </row>
    <row r="371" ht="15.95" customHeight="1" spans="1:12">
      <c r="A371" s="422">
        <v>352</v>
      </c>
      <c r="B371" s="423" t="e">
        <f t="shared" si="6"/>
        <v>#DIV/0!</v>
      </c>
      <c r="C371" s="424"/>
      <c r="D371" s="425"/>
      <c r="E371" s="429"/>
      <c r="F371" s="426">
        <v>352</v>
      </c>
      <c r="G371" s="427"/>
      <c r="H371" s="428"/>
      <c r="I371" s="427"/>
      <c r="J371" s="428"/>
      <c r="K371" s="427"/>
      <c r="L371" s="428"/>
    </row>
    <row r="372" ht="15.95" customHeight="1" spans="1:12">
      <c r="A372" s="422">
        <v>353</v>
      </c>
      <c r="B372" s="423" t="e">
        <f t="shared" si="6"/>
        <v>#DIV/0!</v>
      </c>
      <c r="C372" s="424"/>
      <c r="D372" s="425"/>
      <c r="E372" s="429"/>
      <c r="F372" s="426">
        <v>353</v>
      </c>
      <c r="G372" s="427"/>
      <c r="H372" s="428"/>
      <c r="I372" s="427"/>
      <c r="J372" s="428"/>
      <c r="K372" s="427"/>
      <c r="L372" s="428"/>
    </row>
    <row r="373" ht="15.95" customHeight="1" spans="1:12">
      <c r="A373" s="422">
        <v>354</v>
      </c>
      <c r="B373" s="423" t="e">
        <f t="shared" si="6"/>
        <v>#DIV/0!</v>
      </c>
      <c r="C373" s="424"/>
      <c r="D373" s="425"/>
      <c r="E373" s="429"/>
      <c r="F373" s="426">
        <v>354</v>
      </c>
      <c r="G373" s="427"/>
      <c r="H373" s="428"/>
      <c r="I373" s="427"/>
      <c r="J373" s="428"/>
      <c r="K373" s="427"/>
      <c r="L373" s="428"/>
    </row>
    <row r="374" ht="15.95" customHeight="1" spans="1:12">
      <c r="A374" s="422">
        <v>355</v>
      </c>
      <c r="B374" s="423" t="e">
        <f t="shared" si="6"/>
        <v>#DIV/0!</v>
      </c>
      <c r="C374" s="424"/>
      <c r="D374" s="425"/>
      <c r="E374" s="429"/>
      <c r="F374" s="426">
        <v>355</v>
      </c>
      <c r="G374" s="427"/>
      <c r="H374" s="428"/>
      <c r="I374" s="427"/>
      <c r="J374" s="428"/>
      <c r="K374" s="427"/>
      <c r="L374" s="428"/>
    </row>
    <row r="375" ht="15.95" customHeight="1" spans="1:12">
      <c r="A375" s="422">
        <v>356</v>
      </c>
      <c r="B375" s="423" t="e">
        <f t="shared" si="6"/>
        <v>#DIV/0!</v>
      </c>
      <c r="C375" s="424"/>
      <c r="D375" s="425"/>
      <c r="E375" s="429"/>
      <c r="F375" s="426">
        <v>356</v>
      </c>
      <c r="G375" s="427"/>
      <c r="H375" s="428"/>
      <c r="I375" s="427"/>
      <c r="J375" s="428"/>
      <c r="K375" s="427"/>
      <c r="L375" s="428"/>
    </row>
    <row r="376" ht="15.95" customHeight="1" spans="1:12">
      <c r="A376" s="422">
        <v>357</v>
      </c>
      <c r="B376" s="423" t="e">
        <f t="shared" si="6"/>
        <v>#DIV/0!</v>
      </c>
      <c r="C376" s="424"/>
      <c r="D376" s="425"/>
      <c r="E376" s="429"/>
      <c r="F376" s="426">
        <v>357</v>
      </c>
      <c r="G376" s="427"/>
      <c r="H376" s="428"/>
      <c r="I376" s="427"/>
      <c r="J376" s="428"/>
      <c r="K376" s="427"/>
      <c r="L376" s="428"/>
    </row>
    <row r="377" ht="15.95" customHeight="1" spans="1:12">
      <c r="A377" s="422">
        <v>358</v>
      </c>
      <c r="B377" s="423" t="e">
        <f t="shared" si="6"/>
        <v>#DIV/0!</v>
      </c>
      <c r="C377" s="424"/>
      <c r="D377" s="425"/>
      <c r="E377" s="429"/>
      <c r="F377" s="426">
        <v>358</v>
      </c>
      <c r="G377" s="427"/>
      <c r="H377" s="428"/>
      <c r="I377" s="427"/>
      <c r="J377" s="428"/>
      <c r="K377" s="427"/>
      <c r="L377" s="428"/>
    </row>
    <row r="378" ht="15.95" customHeight="1" spans="1:12">
      <c r="A378" s="422">
        <v>359</v>
      </c>
      <c r="B378" s="423" t="e">
        <f t="shared" si="6"/>
        <v>#DIV/0!</v>
      </c>
      <c r="C378" s="424"/>
      <c r="D378" s="425"/>
      <c r="E378" s="429"/>
      <c r="F378" s="426">
        <v>359</v>
      </c>
      <c r="G378" s="427"/>
      <c r="H378" s="428"/>
      <c r="I378" s="427"/>
      <c r="J378" s="428"/>
      <c r="K378" s="427"/>
      <c r="L378" s="428"/>
    </row>
    <row r="379" ht="15.95" customHeight="1" spans="1:12">
      <c r="A379" s="422">
        <v>360</v>
      </c>
      <c r="B379" s="423" t="e">
        <f t="shared" si="6"/>
        <v>#DIV/0!</v>
      </c>
      <c r="C379" s="424"/>
      <c r="D379" s="425"/>
      <c r="E379" s="429"/>
      <c r="F379" s="426">
        <v>360</v>
      </c>
      <c r="G379" s="427"/>
      <c r="H379" s="428"/>
      <c r="I379" s="427"/>
      <c r="J379" s="428"/>
      <c r="K379" s="427"/>
      <c r="L379" s="428"/>
    </row>
    <row r="380" ht="15.95" customHeight="1" spans="1:12">
      <c r="A380" s="422">
        <v>361</v>
      </c>
      <c r="B380" s="423" t="e">
        <f t="shared" si="6"/>
        <v>#DIV/0!</v>
      </c>
      <c r="C380" s="424"/>
      <c r="D380" s="425"/>
      <c r="E380" s="429"/>
      <c r="F380" s="426">
        <v>361</v>
      </c>
      <c r="G380" s="427"/>
      <c r="H380" s="428"/>
      <c r="I380" s="427"/>
      <c r="J380" s="428"/>
      <c r="K380" s="427"/>
      <c r="L380" s="428"/>
    </row>
    <row r="381" ht="15.95" customHeight="1" spans="1:12">
      <c r="A381" s="422">
        <v>362</v>
      </c>
      <c r="B381" s="423" t="e">
        <f t="shared" si="6"/>
        <v>#DIV/0!</v>
      </c>
      <c r="C381" s="424"/>
      <c r="D381" s="425"/>
      <c r="E381" s="429"/>
      <c r="F381" s="426">
        <v>362</v>
      </c>
      <c r="G381" s="427"/>
      <c r="H381" s="428"/>
      <c r="I381" s="427"/>
      <c r="J381" s="428"/>
      <c r="K381" s="427"/>
      <c r="L381" s="428"/>
    </row>
    <row r="382" ht="15.95" customHeight="1" spans="1:12">
      <c r="A382" s="422">
        <v>363</v>
      </c>
      <c r="B382" s="423" t="e">
        <f t="shared" si="6"/>
        <v>#DIV/0!</v>
      </c>
      <c r="C382" s="424"/>
      <c r="D382" s="425"/>
      <c r="E382" s="429"/>
      <c r="F382" s="426">
        <v>363</v>
      </c>
      <c r="G382" s="427"/>
      <c r="H382" s="428"/>
      <c r="I382" s="427"/>
      <c r="J382" s="428"/>
      <c r="K382" s="427"/>
      <c r="L382" s="428"/>
    </row>
    <row r="383" ht="15.95" customHeight="1" spans="1:12">
      <c r="A383" s="422">
        <v>364</v>
      </c>
      <c r="B383" s="423" t="e">
        <f t="shared" si="6"/>
        <v>#DIV/0!</v>
      </c>
      <c r="C383" s="424"/>
      <c r="D383" s="425"/>
      <c r="E383" s="429"/>
      <c r="F383" s="426">
        <v>364</v>
      </c>
      <c r="G383" s="427"/>
      <c r="H383" s="428"/>
      <c r="I383" s="427"/>
      <c r="J383" s="428"/>
      <c r="K383" s="427"/>
      <c r="L383" s="428"/>
    </row>
    <row r="384" ht="15.95" customHeight="1" spans="1:12">
      <c r="A384" s="422">
        <v>365</v>
      </c>
      <c r="B384" s="423" t="e">
        <f t="shared" si="6"/>
        <v>#DIV/0!</v>
      </c>
      <c r="C384" s="424"/>
      <c r="D384" s="425"/>
      <c r="E384" s="429"/>
      <c r="F384" s="426">
        <v>365</v>
      </c>
      <c r="G384" s="427"/>
      <c r="H384" s="428"/>
      <c r="I384" s="427"/>
      <c r="J384" s="428"/>
      <c r="K384" s="427"/>
      <c r="L384" s="428"/>
    </row>
    <row r="385" ht="15.95" customHeight="1" spans="1:12">
      <c r="A385" s="422">
        <v>366</v>
      </c>
      <c r="B385" s="423" t="e">
        <f t="shared" si="6"/>
        <v>#DIV/0!</v>
      </c>
      <c r="C385" s="424"/>
      <c r="D385" s="425"/>
      <c r="E385" s="429"/>
      <c r="F385" s="426">
        <v>366</v>
      </c>
      <c r="G385" s="427"/>
      <c r="H385" s="428"/>
      <c r="I385" s="427"/>
      <c r="J385" s="428"/>
      <c r="K385" s="427"/>
      <c r="L385" s="428"/>
    </row>
    <row r="386" ht="15.95" customHeight="1" spans="1:12">
      <c r="A386" s="422">
        <v>367</v>
      </c>
      <c r="B386" s="423" t="e">
        <f t="shared" si="6"/>
        <v>#DIV/0!</v>
      </c>
      <c r="C386" s="424"/>
      <c r="D386" s="425"/>
      <c r="E386" s="429"/>
      <c r="F386" s="426">
        <v>367</v>
      </c>
      <c r="G386" s="427"/>
      <c r="H386" s="428"/>
      <c r="I386" s="427"/>
      <c r="J386" s="428"/>
      <c r="K386" s="427"/>
      <c r="L386" s="428"/>
    </row>
    <row r="387" ht="15.95" customHeight="1" spans="1:12">
      <c r="A387" s="422">
        <v>368</v>
      </c>
      <c r="B387" s="423" t="e">
        <f t="shared" si="6"/>
        <v>#DIV/0!</v>
      </c>
      <c r="C387" s="424"/>
      <c r="D387" s="425"/>
      <c r="E387" s="429"/>
      <c r="F387" s="426">
        <v>368</v>
      </c>
      <c r="G387" s="427"/>
      <c r="H387" s="428"/>
      <c r="I387" s="427"/>
      <c r="J387" s="428"/>
      <c r="K387" s="427"/>
      <c r="L387" s="428"/>
    </row>
    <row r="388" ht="15.95" customHeight="1" spans="1:12">
      <c r="A388" s="422">
        <v>369</v>
      </c>
      <c r="B388" s="423" t="e">
        <f t="shared" si="6"/>
        <v>#DIV/0!</v>
      </c>
      <c r="C388" s="424"/>
      <c r="D388" s="425"/>
      <c r="E388" s="429"/>
      <c r="F388" s="426">
        <v>369</v>
      </c>
      <c r="G388" s="427"/>
      <c r="H388" s="428"/>
      <c r="I388" s="427"/>
      <c r="J388" s="428"/>
      <c r="K388" s="427"/>
      <c r="L388" s="428"/>
    </row>
    <row r="389" ht="15.95" customHeight="1" spans="1:12">
      <c r="A389" s="422">
        <v>370</v>
      </c>
      <c r="B389" s="423" t="e">
        <f t="shared" si="6"/>
        <v>#DIV/0!</v>
      </c>
      <c r="C389" s="424"/>
      <c r="D389" s="425"/>
      <c r="E389" s="429"/>
      <c r="F389" s="426">
        <v>370</v>
      </c>
      <c r="G389" s="427"/>
      <c r="H389" s="428"/>
      <c r="I389" s="427"/>
      <c r="J389" s="428"/>
      <c r="K389" s="427"/>
      <c r="L389" s="428"/>
    </row>
    <row r="390" ht="15.95" customHeight="1" spans="1:12">
      <c r="A390" s="422">
        <v>371</v>
      </c>
      <c r="B390" s="423" t="e">
        <f t="shared" si="6"/>
        <v>#DIV/0!</v>
      </c>
      <c r="C390" s="424"/>
      <c r="D390" s="425"/>
      <c r="E390" s="429"/>
      <c r="F390" s="426">
        <v>371</v>
      </c>
      <c r="G390" s="427"/>
      <c r="H390" s="428"/>
      <c r="I390" s="427"/>
      <c r="J390" s="428"/>
      <c r="K390" s="427"/>
      <c r="L390" s="428"/>
    </row>
    <row r="391" ht="15.95" customHeight="1" spans="1:12">
      <c r="A391" s="422">
        <v>372</v>
      </c>
      <c r="B391" s="423" t="e">
        <f t="shared" si="6"/>
        <v>#DIV/0!</v>
      </c>
      <c r="C391" s="424"/>
      <c r="D391" s="425"/>
      <c r="E391" s="429"/>
      <c r="F391" s="426">
        <v>372</v>
      </c>
      <c r="G391" s="427"/>
      <c r="H391" s="428"/>
      <c r="I391" s="427"/>
      <c r="J391" s="428"/>
      <c r="K391" s="427"/>
      <c r="L391" s="428"/>
    </row>
    <row r="392" ht="15.95" customHeight="1" spans="1:12">
      <c r="A392" s="422">
        <v>373</v>
      </c>
      <c r="B392" s="423" t="e">
        <f t="shared" si="6"/>
        <v>#DIV/0!</v>
      </c>
      <c r="C392" s="424"/>
      <c r="D392" s="425"/>
      <c r="E392" s="429"/>
      <c r="F392" s="426">
        <v>373</v>
      </c>
      <c r="G392" s="427"/>
      <c r="H392" s="428"/>
      <c r="I392" s="427"/>
      <c r="J392" s="428"/>
      <c r="K392" s="427"/>
      <c r="L392" s="428"/>
    </row>
    <row r="393" ht="15.95" customHeight="1" spans="1:12">
      <c r="A393" s="422">
        <v>374</v>
      </c>
      <c r="B393" s="423" t="e">
        <f t="shared" si="6"/>
        <v>#DIV/0!</v>
      </c>
      <c r="C393" s="424"/>
      <c r="D393" s="425"/>
      <c r="E393" s="429"/>
      <c r="F393" s="426">
        <v>374</v>
      </c>
      <c r="G393" s="427"/>
      <c r="H393" s="428"/>
      <c r="I393" s="427"/>
      <c r="J393" s="428"/>
      <c r="K393" s="427"/>
      <c r="L393" s="428"/>
    </row>
    <row r="394" ht="15.95" customHeight="1" spans="1:12">
      <c r="A394" s="422">
        <v>375</v>
      </c>
      <c r="B394" s="423" t="e">
        <f t="shared" si="6"/>
        <v>#DIV/0!</v>
      </c>
      <c r="C394" s="424"/>
      <c r="D394" s="425"/>
      <c r="E394" s="429"/>
      <c r="F394" s="426">
        <v>375</v>
      </c>
      <c r="G394" s="427"/>
      <c r="H394" s="428"/>
      <c r="I394" s="427"/>
      <c r="J394" s="428"/>
      <c r="K394" s="427"/>
      <c r="L394" s="428"/>
    </row>
    <row r="395" ht="15.95" customHeight="1" spans="1:12">
      <c r="A395" s="422">
        <v>376</v>
      </c>
      <c r="B395" s="423" t="e">
        <f t="shared" si="6"/>
        <v>#DIV/0!</v>
      </c>
      <c r="C395" s="424"/>
      <c r="D395" s="425"/>
      <c r="E395" s="429"/>
      <c r="F395" s="426">
        <v>376</v>
      </c>
      <c r="G395" s="427"/>
      <c r="H395" s="428"/>
      <c r="I395" s="427"/>
      <c r="J395" s="428"/>
      <c r="K395" s="427"/>
      <c r="L395" s="428"/>
    </row>
    <row r="396" ht="15.95" customHeight="1" spans="1:12">
      <c r="A396" s="422">
        <v>377</v>
      </c>
      <c r="B396" s="423" t="e">
        <f t="shared" si="6"/>
        <v>#DIV/0!</v>
      </c>
      <c r="C396" s="424"/>
      <c r="D396" s="425"/>
      <c r="E396" s="429"/>
      <c r="F396" s="426">
        <v>377</v>
      </c>
      <c r="G396" s="427"/>
      <c r="H396" s="428"/>
      <c r="I396" s="427"/>
      <c r="J396" s="428"/>
      <c r="K396" s="427"/>
      <c r="L396" s="428"/>
    </row>
    <row r="397" ht="15.95" customHeight="1" spans="1:12">
      <c r="A397" s="422">
        <v>378</v>
      </c>
      <c r="B397" s="423" t="e">
        <f t="shared" si="6"/>
        <v>#DIV/0!</v>
      </c>
      <c r="C397" s="424"/>
      <c r="D397" s="425"/>
      <c r="E397" s="429"/>
      <c r="F397" s="426">
        <v>378</v>
      </c>
      <c r="G397" s="427"/>
      <c r="H397" s="428"/>
      <c r="I397" s="427"/>
      <c r="J397" s="428"/>
      <c r="K397" s="427"/>
      <c r="L397" s="428"/>
    </row>
    <row r="398" ht="15.95" customHeight="1" spans="1:12">
      <c r="A398" s="422">
        <v>379</v>
      </c>
      <c r="B398" s="423" t="e">
        <f t="shared" si="6"/>
        <v>#DIV/0!</v>
      </c>
      <c r="C398" s="424"/>
      <c r="D398" s="425"/>
      <c r="E398" s="429"/>
      <c r="F398" s="426">
        <v>379</v>
      </c>
      <c r="G398" s="427"/>
      <c r="H398" s="428"/>
      <c r="I398" s="427"/>
      <c r="J398" s="428"/>
      <c r="K398" s="427"/>
      <c r="L398" s="428"/>
    </row>
    <row r="399" ht="15.95" customHeight="1" spans="1:12">
      <c r="A399" s="422">
        <v>380</v>
      </c>
      <c r="B399" s="423" t="e">
        <f t="shared" si="6"/>
        <v>#DIV/0!</v>
      </c>
      <c r="C399" s="424"/>
      <c r="D399" s="425"/>
      <c r="E399" s="429"/>
      <c r="F399" s="426">
        <v>380</v>
      </c>
      <c r="G399" s="427"/>
      <c r="H399" s="428"/>
      <c r="I399" s="427"/>
      <c r="J399" s="428"/>
      <c r="K399" s="427"/>
      <c r="L399" s="428"/>
    </row>
    <row r="400" ht="15.95" customHeight="1" spans="1:12">
      <c r="A400" s="422">
        <v>381</v>
      </c>
      <c r="B400" s="423" t="e">
        <f t="shared" si="6"/>
        <v>#DIV/0!</v>
      </c>
      <c r="C400" s="424"/>
      <c r="D400" s="425"/>
      <c r="E400" s="429"/>
      <c r="F400" s="426">
        <v>381</v>
      </c>
      <c r="G400" s="427"/>
      <c r="H400" s="428"/>
      <c r="I400" s="427"/>
      <c r="J400" s="428"/>
      <c r="K400" s="427"/>
      <c r="L400" s="428"/>
    </row>
    <row r="401" ht="15.95" customHeight="1" spans="1:12">
      <c r="A401" s="422">
        <v>382</v>
      </c>
      <c r="B401" s="423" t="e">
        <f t="shared" si="6"/>
        <v>#DIV/0!</v>
      </c>
      <c r="C401" s="424"/>
      <c r="D401" s="425"/>
      <c r="E401" s="429"/>
      <c r="F401" s="426">
        <v>382</v>
      </c>
      <c r="G401" s="427"/>
      <c r="H401" s="428"/>
      <c r="I401" s="427"/>
      <c r="J401" s="428"/>
      <c r="K401" s="427"/>
      <c r="L401" s="428"/>
    </row>
    <row r="402" ht="15.95" customHeight="1" spans="1:12">
      <c r="A402" s="422">
        <v>383</v>
      </c>
      <c r="B402" s="423" t="e">
        <f t="shared" si="6"/>
        <v>#DIV/0!</v>
      </c>
      <c r="C402" s="424"/>
      <c r="D402" s="425"/>
      <c r="E402" s="429"/>
      <c r="F402" s="426">
        <v>383</v>
      </c>
      <c r="G402" s="427"/>
      <c r="H402" s="428"/>
      <c r="I402" s="427"/>
      <c r="J402" s="428"/>
      <c r="K402" s="427"/>
      <c r="L402" s="428"/>
    </row>
    <row r="403" ht="15.95" customHeight="1" spans="1:12">
      <c r="A403" s="422">
        <v>384</v>
      </c>
      <c r="B403" s="423" t="e">
        <f t="shared" si="6"/>
        <v>#DIV/0!</v>
      </c>
      <c r="C403" s="424"/>
      <c r="D403" s="425"/>
      <c r="E403" s="429"/>
      <c r="F403" s="426">
        <v>384</v>
      </c>
      <c r="G403" s="427"/>
      <c r="H403" s="428"/>
      <c r="I403" s="427"/>
      <c r="J403" s="428"/>
      <c r="K403" s="427"/>
      <c r="L403" s="428"/>
    </row>
    <row r="404" ht="15.95" customHeight="1" spans="1:12">
      <c r="A404" s="422">
        <v>385</v>
      </c>
      <c r="B404" s="423" t="e">
        <f t="shared" ref="B404:B467" si="7">AVERAGE(G404:L404)</f>
        <v>#DIV/0!</v>
      </c>
      <c r="C404" s="424"/>
      <c r="D404" s="425"/>
      <c r="E404" s="429"/>
      <c r="F404" s="426">
        <v>385</v>
      </c>
      <c r="G404" s="427"/>
      <c r="H404" s="428"/>
      <c r="I404" s="427"/>
      <c r="J404" s="428"/>
      <c r="K404" s="427"/>
      <c r="L404" s="428"/>
    </row>
    <row r="405" ht="15.95" customHeight="1" spans="1:12">
      <c r="A405" s="422">
        <v>386</v>
      </c>
      <c r="B405" s="423" t="e">
        <f t="shared" si="7"/>
        <v>#DIV/0!</v>
      </c>
      <c r="C405" s="424"/>
      <c r="D405" s="425"/>
      <c r="E405" s="429"/>
      <c r="F405" s="426">
        <v>386</v>
      </c>
      <c r="G405" s="427"/>
      <c r="H405" s="428"/>
      <c r="I405" s="427"/>
      <c r="J405" s="428"/>
      <c r="K405" s="427"/>
      <c r="L405" s="428"/>
    </row>
    <row r="406" ht="15.95" customHeight="1" spans="1:12">
      <c r="A406" s="422">
        <v>387</v>
      </c>
      <c r="B406" s="423" t="e">
        <f t="shared" si="7"/>
        <v>#DIV/0!</v>
      </c>
      <c r="C406" s="424"/>
      <c r="D406" s="425"/>
      <c r="E406" s="429"/>
      <c r="F406" s="426">
        <v>387</v>
      </c>
      <c r="G406" s="427"/>
      <c r="H406" s="428"/>
      <c r="I406" s="427"/>
      <c r="J406" s="428"/>
      <c r="K406" s="427"/>
      <c r="L406" s="428"/>
    </row>
    <row r="407" ht="15.95" customHeight="1" spans="1:12">
      <c r="A407" s="422">
        <v>388</v>
      </c>
      <c r="B407" s="423" t="e">
        <f t="shared" si="7"/>
        <v>#DIV/0!</v>
      </c>
      <c r="C407" s="424"/>
      <c r="D407" s="425"/>
      <c r="E407" s="429"/>
      <c r="F407" s="426">
        <v>388</v>
      </c>
      <c r="G407" s="427"/>
      <c r="H407" s="428"/>
      <c r="I407" s="427"/>
      <c r="J407" s="428"/>
      <c r="K407" s="427"/>
      <c r="L407" s="428"/>
    </row>
    <row r="408" ht="15.95" customHeight="1" spans="1:12">
      <c r="A408" s="422">
        <v>389</v>
      </c>
      <c r="B408" s="423" t="e">
        <f t="shared" si="7"/>
        <v>#DIV/0!</v>
      </c>
      <c r="C408" s="424"/>
      <c r="D408" s="425"/>
      <c r="E408" s="429"/>
      <c r="F408" s="426">
        <v>389</v>
      </c>
      <c r="G408" s="427"/>
      <c r="H408" s="428"/>
      <c r="I408" s="427"/>
      <c r="J408" s="428"/>
      <c r="K408" s="427"/>
      <c r="L408" s="428"/>
    </row>
    <row r="409" ht="15.95" customHeight="1" spans="1:12">
      <c r="A409" s="422">
        <v>390</v>
      </c>
      <c r="B409" s="423" t="e">
        <f t="shared" si="7"/>
        <v>#DIV/0!</v>
      </c>
      <c r="C409" s="424"/>
      <c r="D409" s="425"/>
      <c r="E409" s="429"/>
      <c r="F409" s="426">
        <v>390</v>
      </c>
      <c r="G409" s="427"/>
      <c r="H409" s="428"/>
      <c r="I409" s="427"/>
      <c r="J409" s="428"/>
      <c r="K409" s="427"/>
      <c r="L409" s="428"/>
    </row>
    <row r="410" ht="15.95" customHeight="1" spans="1:12">
      <c r="A410" s="422">
        <v>391</v>
      </c>
      <c r="B410" s="423" t="e">
        <f t="shared" si="7"/>
        <v>#DIV/0!</v>
      </c>
      <c r="C410" s="424"/>
      <c r="D410" s="425"/>
      <c r="E410" s="429"/>
      <c r="F410" s="426">
        <v>391</v>
      </c>
      <c r="G410" s="427"/>
      <c r="H410" s="428"/>
      <c r="I410" s="427"/>
      <c r="J410" s="428"/>
      <c r="K410" s="427"/>
      <c r="L410" s="428"/>
    </row>
    <row r="411" ht="15.95" customHeight="1" spans="1:12">
      <c r="A411" s="422">
        <v>392</v>
      </c>
      <c r="B411" s="423" t="e">
        <f t="shared" si="7"/>
        <v>#DIV/0!</v>
      </c>
      <c r="C411" s="424"/>
      <c r="D411" s="425"/>
      <c r="E411" s="429"/>
      <c r="F411" s="426">
        <v>392</v>
      </c>
      <c r="G411" s="427"/>
      <c r="H411" s="428"/>
      <c r="I411" s="427"/>
      <c r="J411" s="428"/>
      <c r="K411" s="427"/>
      <c r="L411" s="428"/>
    </row>
    <row r="412" ht="15.95" customHeight="1" spans="1:12">
      <c r="A412" s="422">
        <v>393</v>
      </c>
      <c r="B412" s="423" t="e">
        <f t="shared" si="7"/>
        <v>#DIV/0!</v>
      </c>
      <c r="C412" s="424"/>
      <c r="D412" s="425"/>
      <c r="E412" s="429"/>
      <c r="F412" s="426">
        <v>393</v>
      </c>
      <c r="G412" s="427"/>
      <c r="H412" s="428"/>
      <c r="I412" s="427"/>
      <c r="J412" s="428"/>
      <c r="K412" s="427"/>
      <c r="L412" s="428"/>
    </row>
    <row r="413" ht="15.95" customHeight="1" spans="1:12">
      <c r="A413" s="422">
        <v>394</v>
      </c>
      <c r="B413" s="423" t="e">
        <f t="shared" si="7"/>
        <v>#DIV/0!</v>
      </c>
      <c r="C413" s="424"/>
      <c r="D413" s="425"/>
      <c r="E413" s="429"/>
      <c r="F413" s="426">
        <v>394</v>
      </c>
      <c r="G413" s="427"/>
      <c r="H413" s="428"/>
      <c r="I413" s="427"/>
      <c r="J413" s="428"/>
      <c r="K413" s="427"/>
      <c r="L413" s="428"/>
    </row>
    <row r="414" ht="15.95" customHeight="1" spans="1:12">
      <c r="A414" s="422">
        <v>395</v>
      </c>
      <c r="B414" s="423" t="e">
        <f t="shared" si="7"/>
        <v>#DIV/0!</v>
      </c>
      <c r="C414" s="424"/>
      <c r="D414" s="425"/>
      <c r="E414" s="429"/>
      <c r="F414" s="426">
        <v>395</v>
      </c>
      <c r="G414" s="427"/>
      <c r="H414" s="428"/>
      <c r="I414" s="427"/>
      <c r="J414" s="428"/>
      <c r="K414" s="427"/>
      <c r="L414" s="428"/>
    </row>
    <row r="415" ht="15.95" customHeight="1" spans="1:12">
      <c r="A415" s="422">
        <v>396</v>
      </c>
      <c r="B415" s="423" t="e">
        <f t="shared" si="7"/>
        <v>#DIV/0!</v>
      </c>
      <c r="C415" s="424"/>
      <c r="D415" s="425"/>
      <c r="E415" s="429"/>
      <c r="F415" s="426">
        <v>396</v>
      </c>
      <c r="G415" s="427"/>
      <c r="H415" s="428"/>
      <c r="I415" s="427"/>
      <c r="J415" s="428"/>
      <c r="K415" s="427"/>
      <c r="L415" s="428"/>
    </row>
    <row r="416" ht="15.95" customHeight="1" spans="1:12">
      <c r="A416" s="422">
        <v>397</v>
      </c>
      <c r="B416" s="423" t="e">
        <f t="shared" si="7"/>
        <v>#DIV/0!</v>
      </c>
      <c r="C416" s="424"/>
      <c r="D416" s="425"/>
      <c r="E416" s="429"/>
      <c r="F416" s="426">
        <v>397</v>
      </c>
      <c r="G416" s="427"/>
      <c r="H416" s="428"/>
      <c r="I416" s="427"/>
      <c r="J416" s="428"/>
      <c r="K416" s="427"/>
      <c r="L416" s="428"/>
    </row>
    <row r="417" ht="15.95" customHeight="1" spans="1:12">
      <c r="A417" s="422">
        <v>398</v>
      </c>
      <c r="B417" s="423" t="e">
        <f t="shared" si="7"/>
        <v>#DIV/0!</v>
      </c>
      <c r="C417" s="424"/>
      <c r="D417" s="425"/>
      <c r="E417" s="429"/>
      <c r="F417" s="426">
        <v>398</v>
      </c>
      <c r="G417" s="427"/>
      <c r="H417" s="428"/>
      <c r="I417" s="427"/>
      <c r="J417" s="428"/>
      <c r="K417" s="427"/>
      <c r="L417" s="428"/>
    </row>
    <row r="418" ht="15.95" customHeight="1" spans="1:12">
      <c r="A418" s="422">
        <v>399</v>
      </c>
      <c r="B418" s="423" t="e">
        <f t="shared" si="7"/>
        <v>#DIV/0!</v>
      </c>
      <c r="C418" s="424"/>
      <c r="D418" s="425"/>
      <c r="E418" s="429"/>
      <c r="F418" s="426">
        <v>399</v>
      </c>
      <c r="G418" s="427"/>
      <c r="H418" s="428"/>
      <c r="I418" s="427"/>
      <c r="J418" s="428"/>
      <c r="K418" s="427"/>
      <c r="L418" s="428"/>
    </row>
    <row r="419" ht="15.95" customHeight="1" spans="1:12">
      <c r="A419" s="422">
        <v>400</v>
      </c>
      <c r="B419" s="423" t="e">
        <f t="shared" si="7"/>
        <v>#DIV/0!</v>
      </c>
      <c r="C419" s="424"/>
      <c r="D419" s="425"/>
      <c r="E419" s="429"/>
      <c r="F419" s="426">
        <v>400</v>
      </c>
      <c r="G419" s="427"/>
      <c r="H419" s="428"/>
      <c r="I419" s="427"/>
      <c r="J419" s="428"/>
      <c r="K419" s="427"/>
      <c r="L419" s="428"/>
    </row>
    <row r="420" ht="15.95" customHeight="1" spans="1:12">
      <c r="A420" s="422">
        <v>401</v>
      </c>
      <c r="B420" s="423" t="e">
        <f t="shared" si="7"/>
        <v>#DIV/0!</v>
      </c>
      <c r="C420" s="424"/>
      <c r="D420" s="425"/>
      <c r="E420" s="429"/>
      <c r="F420" s="426">
        <v>401</v>
      </c>
      <c r="G420" s="427"/>
      <c r="H420" s="428"/>
      <c r="I420" s="427"/>
      <c r="J420" s="428"/>
      <c r="K420" s="427"/>
      <c r="L420" s="428"/>
    </row>
    <row r="421" ht="15.95" customHeight="1" spans="1:12">
      <c r="A421" s="422">
        <v>402</v>
      </c>
      <c r="B421" s="423" t="e">
        <f t="shared" si="7"/>
        <v>#DIV/0!</v>
      </c>
      <c r="C421" s="424"/>
      <c r="D421" s="425"/>
      <c r="E421" s="429"/>
      <c r="F421" s="426">
        <v>402</v>
      </c>
      <c r="G421" s="427"/>
      <c r="H421" s="428"/>
      <c r="I421" s="427"/>
      <c r="J421" s="428"/>
      <c r="K421" s="427"/>
      <c r="L421" s="428"/>
    </row>
    <row r="422" ht="15.95" customHeight="1" spans="1:12">
      <c r="A422" s="422">
        <v>403</v>
      </c>
      <c r="B422" s="423" t="e">
        <f t="shared" si="7"/>
        <v>#DIV/0!</v>
      </c>
      <c r="C422" s="424"/>
      <c r="D422" s="425"/>
      <c r="E422" s="429"/>
      <c r="F422" s="426">
        <v>403</v>
      </c>
      <c r="G422" s="427"/>
      <c r="H422" s="428"/>
      <c r="I422" s="427"/>
      <c r="J422" s="428"/>
      <c r="K422" s="427"/>
      <c r="L422" s="428"/>
    </row>
    <row r="423" ht="15.95" customHeight="1" spans="1:12">
      <c r="A423" s="422">
        <v>404</v>
      </c>
      <c r="B423" s="423" t="e">
        <f t="shared" si="7"/>
        <v>#DIV/0!</v>
      </c>
      <c r="C423" s="424"/>
      <c r="D423" s="425"/>
      <c r="E423" s="429"/>
      <c r="F423" s="426">
        <v>404</v>
      </c>
      <c r="G423" s="427"/>
      <c r="H423" s="428"/>
      <c r="I423" s="427"/>
      <c r="J423" s="428"/>
      <c r="K423" s="427"/>
      <c r="L423" s="428"/>
    </row>
    <row r="424" ht="15.95" customHeight="1" spans="1:12">
      <c r="A424" s="422">
        <v>405</v>
      </c>
      <c r="B424" s="423" t="e">
        <f t="shared" si="7"/>
        <v>#DIV/0!</v>
      </c>
      <c r="C424" s="424"/>
      <c r="D424" s="425"/>
      <c r="E424" s="429"/>
      <c r="F424" s="426">
        <v>405</v>
      </c>
      <c r="G424" s="427"/>
      <c r="H424" s="428"/>
      <c r="I424" s="427"/>
      <c r="J424" s="428"/>
      <c r="K424" s="427"/>
      <c r="L424" s="428"/>
    </row>
    <row r="425" ht="15.95" customHeight="1" spans="1:12">
      <c r="A425" s="422">
        <v>406</v>
      </c>
      <c r="B425" s="423" t="e">
        <f t="shared" si="7"/>
        <v>#DIV/0!</v>
      </c>
      <c r="C425" s="424"/>
      <c r="D425" s="425"/>
      <c r="E425" s="429"/>
      <c r="F425" s="426">
        <v>406</v>
      </c>
      <c r="G425" s="427"/>
      <c r="H425" s="428"/>
      <c r="I425" s="427"/>
      <c r="J425" s="428"/>
      <c r="K425" s="427"/>
      <c r="L425" s="428"/>
    </row>
    <row r="426" ht="15.95" customHeight="1" spans="1:12">
      <c r="A426" s="422">
        <v>407</v>
      </c>
      <c r="B426" s="423" t="e">
        <f t="shared" si="7"/>
        <v>#DIV/0!</v>
      </c>
      <c r="C426" s="424"/>
      <c r="D426" s="425"/>
      <c r="E426" s="429"/>
      <c r="F426" s="426">
        <v>407</v>
      </c>
      <c r="G426" s="427"/>
      <c r="H426" s="428"/>
      <c r="I426" s="427"/>
      <c r="J426" s="428"/>
      <c r="K426" s="427"/>
      <c r="L426" s="428"/>
    </row>
    <row r="427" ht="15.95" customHeight="1" spans="1:12">
      <c r="A427" s="422">
        <v>408</v>
      </c>
      <c r="B427" s="423" t="e">
        <f t="shared" si="7"/>
        <v>#DIV/0!</v>
      </c>
      <c r="C427" s="424"/>
      <c r="D427" s="425"/>
      <c r="E427" s="429"/>
      <c r="F427" s="426">
        <v>408</v>
      </c>
      <c r="G427" s="427"/>
      <c r="H427" s="428"/>
      <c r="I427" s="427"/>
      <c r="J427" s="428"/>
      <c r="K427" s="427"/>
      <c r="L427" s="428"/>
    </row>
    <row r="428" ht="15.95" customHeight="1" spans="1:12">
      <c r="A428" s="422">
        <v>409</v>
      </c>
      <c r="B428" s="423" t="e">
        <f t="shared" si="7"/>
        <v>#DIV/0!</v>
      </c>
      <c r="C428" s="424"/>
      <c r="D428" s="425"/>
      <c r="E428" s="429"/>
      <c r="F428" s="426">
        <v>409</v>
      </c>
      <c r="G428" s="427"/>
      <c r="H428" s="428"/>
      <c r="I428" s="427"/>
      <c r="J428" s="428"/>
      <c r="K428" s="427"/>
      <c r="L428" s="428"/>
    </row>
    <row r="429" ht="15.95" customHeight="1" spans="1:12">
      <c r="A429" s="422">
        <v>410</v>
      </c>
      <c r="B429" s="423" t="e">
        <f t="shared" si="7"/>
        <v>#DIV/0!</v>
      </c>
      <c r="C429" s="424"/>
      <c r="D429" s="425"/>
      <c r="E429" s="429"/>
      <c r="F429" s="426">
        <v>410</v>
      </c>
      <c r="G429" s="427"/>
      <c r="H429" s="428"/>
      <c r="I429" s="427"/>
      <c r="J429" s="428"/>
      <c r="K429" s="427"/>
      <c r="L429" s="428"/>
    </row>
    <row r="430" ht="15.95" customHeight="1" spans="1:12">
      <c r="A430" s="422">
        <v>411</v>
      </c>
      <c r="B430" s="423" t="e">
        <f t="shared" si="7"/>
        <v>#DIV/0!</v>
      </c>
      <c r="C430" s="424"/>
      <c r="D430" s="425"/>
      <c r="E430" s="429"/>
      <c r="F430" s="426">
        <v>411</v>
      </c>
      <c r="G430" s="427"/>
      <c r="H430" s="428"/>
      <c r="I430" s="427"/>
      <c r="J430" s="428"/>
      <c r="K430" s="427"/>
      <c r="L430" s="428"/>
    </row>
    <row r="431" ht="15.95" customHeight="1" spans="1:12">
      <c r="A431" s="422">
        <v>412</v>
      </c>
      <c r="B431" s="423" t="e">
        <f t="shared" si="7"/>
        <v>#DIV/0!</v>
      </c>
      <c r="C431" s="424"/>
      <c r="D431" s="425"/>
      <c r="E431" s="429"/>
      <c r="F431" s="426">
        <v>412</v>
      </c>
      <c r="G431" s="427"/>
      <c r="H431" s="428"/>
      <c r="I431" s="427"/>
      <c r="J431" s="428"/>
      <c r="K431" s="427"/>
      <c r="L431" s="428"/>
    </row>
    <row r="432" ht="15.95" customHeight="1" spans="1:12">
      <c r="A432" s="422">
        <v>413</v>
      </c>
      <c r="B432" s="423" t="e">
        <f t="shared" si="7"/>
        <v>#DIV/0!</v>
      </c>
      <c r="C432" s="424"/>
      <c r="D432" s="425"/>
      <c r="E432" s="429"/>
      <c r="F432" s="426">
        <v>413</v>
      </c>
      <c r="G432" s="427"/>
      <c r="H432" s="428"/>
      <c r="I432" s="427"/>
      <c r="J432" s="428"/>
      <c r="K432" s="427"/>
      <c r="L432" s="428"/>
    </row>
    <row r="433" ht="15.95" customHeight="1" spans="1:12">
      <c r="A433" s="422">
        <v>414</v>
      </c>
      <c r="B433" s="423" t="e">
        <f t="shared" si="7"/>
        <v>#DIV/0!</v>
      </c>
      <c r="C433" s="424"/>
      <c r="D433" s="425"/>
      <c r="E433" s="429"/>
      <c r="F433" s="426">
        <v>414</v>
      </c>
      <c r="G433" s="427"/>
      <c r="H433" s="428"/>
      <c r="I433" s="427"/>
      <c r="J433" s="428"/>
      <c r="K433" s="427"/>
      <c r="L433" s="428"/>
    </row>
    <row r="434" ht="15.95" customHeight="1" spans="1:12">
      <c r="A434" s="422">
        <v>415</v>
      </c>
      <c r="B434" s="423" t="e">
        <f t="shared" si="7"/>
        <v>#DIV/0!</v>
      </c>
      <c r="C434" s="424"/>
      <c r="D434" s="425"/>
      <c r="E434" s="429"/>
      <c r="F434" s="426">
        <v>415</v>
      </c>
      <c r="G434" s="427"/>
      <c r="H434" s="428"/>
      <c r="I434" s="427"/>
      <c r="J434" s="428"/>
      <c r="K434" s="427"/>
      <c r="L434" s="428"/>
    </row>
    <row r="435" ht="15.95" customHeight="1" spans="1:12">
      <c r="A435" s="422">
        <v>416</v>
      </c>
      <c r="B435" s="423" t="e">
        <f t="shared" si="7"/>
        <v>#DIV/0!</v>
      </c>
      <c r="C435" s="424"/>
      <c r="D435" s="425"/>
      <c r="E435" s="429"/>
      <c r="F435" s="426">
        <v>416</v>
      </c>
      <c r="G435" s="427"/>
      <c r="H435" s="428"/>
      <c r="I435" s="427"/>
      <c r="J435" s="428"/>
      <c r="K435" s="427"/>
      <c r="L435" s="428"/>
    </row>
    <row r="436" ht="15.95" customHeight="1" spans="1:12">
      <c r="A436" s="422">
        <v>417</v>
      </c>
      <c r="B436" s="423" t="e">
        <f t="shared" si="7"/>
        <v>#DIV/0!</v>
      </c>
      <c r="C436" s="424"/>
      <c r="D436" s="425"/>
      <c r="E436" s="429"/>
      <c r="F436" s="426">
        <v>417</v>
      </c>
      <c r="G436" s="427"/>
      <c r="H436" s="428"/>
      <c r="I436" s="427"/>
      <c r="J436" s="428"/>
      <c r="K436" s="427"/>
      <c r="L436" s="428"/>
    </row>
    <row r="437" ht="15.95" customHeight="1" spans="1:12">
      <c r="A437" s="422">
        <v>418</v>
      </c>
      <c r="B437" s="423" t="e">
        <f t="shared" si="7"/>
        <v>#DIV/0!</v>
      </c>
      <c r="C437" s="424"/>
      <c r="D437" s="425"/>
      <c r="E437" s="429"/>
      <c r="F437" s="426">
        <v>418</v>
      </c>
      <c r="G437" s="427"/>
      <c r="H437" s="428"/>
      <c r="I437" s="427"/>
      <c r="J437" s="428"/>
      <c r="K437" s="427"/>
      <c r="L437" s="428"/>
    </row>
    <row r="438" ht="15.95" customHeight="1" spans="1:12">
      <c r="A438" s="422">
        <v>419</v>
      </c>
      <c r="B438" s="423" t="e">
        <f t="shared" si="7"/>
        <v>#DIV/0!</v>
      </c>
      <c r="C438" s="424"/>
      <c r="D438" s="425"/>
      <c r="E438" s="429"/>
      <c r="F438" s="426">
        <v>419</v>
      </c>
      <c r="G438" s="427"/>
      <c r="H438" s="428"/>
      <c r="I438" s="427"/>
      <c r="J438" s="428"/>
      <c r="K438" s="427"/>
      <c r="L438" s="428"/>
    </row>
    <row r="439" ht="15.95" customHeight="1" spans="1:12">
      <c r="A439" s="422">
        <v>420</v>
      </c>
      <c r="B439" s="423" t="e">
        <f t="shared" si="7"/>
        <v>#DIV/0!</v>
      </c>
      <c r="C439" s="424"/>
      <c r="D439" s="425"/>
      <c r="E439" s="429"/>
      <c r="F439" s="426">
        <v>420</v>
      </c>
      <c r="G439" s="427"/>
      <c r="H439" s="428"/>
      <c r="I439" s="427"/>
      <c r="J439" s="428"/>
      <c r="K439" s="427"/>
      <c r="L439" s="428"/>
    </row>
    <row r="440" ht="15.95" customHeight="1" spans="1:12">
      <c r="A440" s="422">
        <v>421</v>
      </c>
      <c r="B440" s="423" t="e">
        <f t="shared" si="7"/>
        <v>#DIV/0!</v>
      </c>
      <c r="C440" s="424"/>
      <c r="D440" s="425"/>
      <c r="E440" s="429"/>
      <c r="F440" s="426">
        <v>421</v>
      </c>
      <c r="G440" s="427"/>
      <c r="H440" s="428"/>
      <c r="I440" s="427"/>
      <c r="J440" s="428"/>
      <c r="K440" s="427"/>
      <c r="L440" s="428"/>
    </row>
    <row r="441" ht="15.95" customHeight="1" spans="1:12">
      <c r="A441" s="422">
        <v>422</v>
      </c>
      <c r="B441" s="423" t="e">
        <f t="shared" si="7"/>
        <v>#DIV/0!</v>
      </c>
      <c r="C441" s="424"/>
      <c r="D441" s="425"/>
      <c r="E441" s="429"/>
      <c r="F441" s="426">
        <v>422</v>
      </c>
      <c r="G441" s="427"/>
      <c r="H441" s="428"/>
      <c r="I441" s="427"/>
      <c r="J441" s="428"/>
      <c r="K441" s="427"/>
      <c r="L441" s="428"/>
    </row>
    <row r="442" ht="15.95" customHeight="1" spans="1:12">
      <c r="A442" s="422">
        <v>423</v>
      </c>
      <c r="B442" s="423" t="e">
        <f t="shared" si="7"/>
        <v>#DIV/0!</v>
      </c>
      <c r="C442" s="424"/>
      <c r="D442" s="425"/>
      <c r="E442" s="429"/>
      <c r="F442" s="426">
        <v>423</v>
      </c>
      <c r="G442" s="427"/>
      <c r="H442" s="428"/>
      <c r="I442" s="427"/>
      <c r="J442" s="428"/>
      <c r="K442" s="427"/>
      <c r="L442" s="428"/>
    </row>
    <row r="443" ht="15.95" customHeight="1" spans="1:12">
      <c r="A443" s="422">
        <v>424</v>
      </c>
      <c r="B443" s="423" t="e">
        <f t="shared" si="7"/>
        <v>#DIV/0!</v>
      </c>
      <c r="C443" s="424"/>
      <c r="D443" s="425"/>
      <c r="E443" s="429"/>
      <c r="F443" s="426">
        <v>424</v>
      </c>
      <c r="G443" s="427"/>
      <c r="H443" s="428"/>
      <c r="I443" s="427"/>
      <c r="J443" s="428"/>
      <c r="K443" s="427"/>
      <c r="L443" s="428"/>
    </row>
    <row r="444" ht="15.95" customHeight="1" spans="1:12">
      <c r="A444" s="422">
        <v>425</v>
      </c>
      <c r="B444" s="423" t="e">
        <f t="shared" si="7"/>
        <v>#DIV/0!</v>
      </c>
      <c r="C444" s="424"/>
      <c r="D444" s="425"/>
      <c r="E444" s="429"/>
      <c r="F444" s="426">
        <v>425</v>
      </c>
      <c r="G444" s="427"/>
      <c r="H444" s="428"/>
      <c r="I444" s="427"/>
      <c r="J444" s="428"/>
      <c r="K444" s="427"/>
      <c r="L444" s="428"/>
    </row>
    <row r="445" ht="15.95" customHeight="1" spans="1:12">
      <c r="A445" s="422">
        <v>426</v>
      </c>
      <c r="B445" s="423" t="e">
        <f t="shared" si="7"/>
        <v>#DIV/0!</v>
      </c>
      <c r="C445" s="424"/>
      <c r="D445" s="425"/>
      <c r="E445" s="429"/>
      <c r="F445" s="426">
        <v>426</v>
      </c>
      <c r="G445" s="427"/>
      <c r="H445" s="428"/>
      <c r="I445" s="427"/>
      <c r="J445" s="428"/>
      <c r="K445" s="427"/>
      <c r="L445" s="428"/>
    </row>
    <row r="446" ht="15.95" customHeight="1" spans="1:12">
      <c r="A446" s="422">
        <v>427</v>
      </c>
      <c r="B446" s="423" t="e">
        <f t="shared" si="7"/>
        <v>#DIV/0!</v>
      </c>
      <c r="C446" s="424"/>
      <c r="D446" s="425"/>
      <c r="E446" s="429"/>
      <c r="F446" s="426">
        <v>427</v>
      </c>
      <c r="G446" s="427"/>
      <c r="H446" s="428"/>
      <c r="I446" s="427"/>
      <c r="J446" s="428"/>
      <c r="K446" s="427"/>
      <c r="L446" s="428"/>
    </row>
    <row r="447" ht="15.95" customHeight="1" spans="1:12">
      <c r="A447" s="422">
        <v>428</v>
      </c>
      <c r="B447" s="423" t="e">
        <f t="shared" si="7"/>
        <v>#DIV/0!</v>
      </c>
      <c r="C447" s="424"/>
      <c r="D447" s="425"/>
      <c r="E447" s="429"/>
      <c r="F447" s="426">
        <v>428</v>
      </c>
      <c r="G447" s="427"/>
      <c r="H447" s="428"/>
      <c r="I447" s="427"/>
      <c r="J447" s="428"/>
      <c r="K447" s="427"/>
      <c r="L447" s="428"/>
    </row>
    <row r="448" ht="15.95" customHeight="1" spans="1:12">
      <c r="A448" s="422">
        <v>429</v>
      </c>
      <c r="B448" s="423" t="e">
        <f t="shared" si="7"/>
        <v>#DIV/0!</v>
      </c>
      <c r="C448" s="424"/>
      <c r="D448" s="425"/>
      <c r="E448" s="429"/>
      <c r="F448" s="426">
        <v>429</v>
      </c>
      <c r="G448" s="427"/>
      <c r="H448" s="428"/>
      <c r="I448" s="427"/>
      <c r="J448" s="428"/>
      <c r="K448" s="427"/>
      <c r="L448" s="428"/>
    </row>
    <row r="449" ht="15.95" customHeight="1" spans="1:12">
      <c r="A449" s="422">
        <v>430</v>
      </c>
      <c r="B449" s="423" t="e">
        <f t="shared" si="7"/>
        <v>#DIV/0!</v>
      </c>
      <c r="C449" s="424"/>
      <c r="D449" s="425"/>
      <c r="E449" s="429"/>
      <c r="F449" s="426">
        <v>430</v>
      </c>
      <c r="G449" s="427"/>
      <c r="H449" s="428"/>
      <c r="I449" s="427"/>
      <c r="J449" s="428"/>
      <c r="K449" s="427"/>
      <c r="L449" s="428"/>
    </row>
    <row r="450" ht="15.95" customHeight="1" spans="1:12">
      <c r="A450" s="422">
        <v>431</v>
      </c>
      <c r="B450" s="423" t="e">
        <f t="shared" si="7"/>
        <v>#DIV/0!</v>
      </c>
      <c r="C450" s="424"/>
      <c r="D450" s="425"/>
      <c r="E450" s="429"/>
      <c r="F450" s="426">
        <v>431</v>
      </c>
      <c r="G450" s="427"/>
      <c r="H450" s="428"/>
      <c r="I450" s="427"/>
      <c r="J450" s="428"/>
      <c r="K450" s="427"/>
      <c r="L450" s="428"/>
    </row>
    <row r="451" ht="15.95" customHeight="1" spans="1:12">
      <c r="A451" s="422">
        <v>432</v>
      </c>
      <c r="B451" s="423" t="e">
        <f t="shared" si="7"/>
        <v>#DIV/0!</v>
      </c>
      <c r="C451" s="424"/>
      <c r="D451" s="425"/>
      <c r="E451" s="429"/>
      <c r="F451" s="426">
        <v>432</v>
      </c>
      <c r="G451" s="427"/>
      <c r="H451" s="428"/>
      <c r="I451" s="427"/>
      <c r="J451" s="428"/>
      <c r="K451" s="427"/>
      <c r="L451" s="428"/>
    </row>
    <row r="452" ht="15.95" customHeight="1" spans="1:12">
      <c r="A452" s="422">
        <v>433</v>
      </c>
      <c r="B452" s="423" t="e">
        <f t="shared" si="7"/>
        <v>#DIV/0!</v>
      </c>
      <c r="C452" s="424"/>
      <c r="D452" s="425"/>
      <c r="E452" s="429"/>
      <c r="F452" s="426">
        <v>433</v>
      </c>
      <c r="G452" s="427"/>
      <c r="H452" s="428"/>
      <c r="I452" s="427"/>
      <c r="J452" s="428"/>
      <c r="K452" s="427"/>
      <c r="L452" s="428"/>
    </row>
    <row r="453" ht="15.95" customHeight="1" spans="1:12">
      <c r="A453" s="422">
        <v>434</v>
      </c>
      <c r="B453" s="423" t="e">
        <f t="shared" si="7"/>
        <v>#DIV/0!</v>
      </c>
      <c r="C453" s="424"/>
      <c r="D453" s="425"/>
      <c r="E453" s="429"/>
      <c r="F453" s="426">
        <v>434</v>
      </c>
      <c r="G453" s="427"/>
      <c r="H453" s="428"/>
      <c r="I453" s="427"/>
      <c r="J453" s="428"/>
      <c r="K453" s="427"/>
      <c r="L453" s="428"/>
    </row>
    <row r="454" ht="15.95" customHeight="1" spans="1:12">
      <c r="A454" s="422">
        <v>435</v>
      </c>
      <c r="B454" s="423" t="e">
        <f t="shared" si="7"/>
        <v>#DIV/0!</v>
      </c>
      <c r="C454" s="424"/>
      <c r="D454" s="425"/>
      <c r="E454" s="429"/>
      <c r="F454" s="426">
        <v>435</v>
      </c>
      <c r="G454" s="427"/>
      <c r="H454" s="428"/>
      <c r="I454" s="427"/>
      <c r="J454" s="428"/>
      <c r="K454" s="427"/>
      <c r="L454" s="428"/>
    </row>
    <row r="455" ht="15.95" customHeight="1" spans="1:12">
      <c r="A455" s="422">
        <v>436</v>
      </c>
      <c r="B455" s="423" t="e">
        <f t="shared" si="7"/>
        <v>#DIV/0!</v>
      </c>
      <c r="C455" s="424"/>
      <c r="D455" s="425"/>
      <c r="E455" s="429"/>
      <c r="F455" s="426">
        <v>436</v>
      </c>
      <c r="G455" s="427"/>
      <c r="H455" s="428"/>
      <c r="I455" s="427"/>
      <c r="J455" s="428"/>
      <c r="K455" s="427"/>
      <c r="L455" s="428"/>
    </row>
    <row r="456" ht="15.95" customHeight="1" spans="1:12">
      <c r="A456" s="422">
        <v>437</v>
      </c>
      <c r="B456" s="423" t="e">
        <f t="shared" si="7"/>
        <v>#DIV/0!</v>
      </c>
      <c r="C456" s="424"/>
      <c r="D456" s="425"/>
      <c r="E456" s="429"/>
      <c r="F456" s="426">
        <v>437</v>
      </c>
      <c r="G456" s="427"/>
      <c r="H456" s="428"/>
      <c r="I456" s="427"/>
      <c r="J456" s="428"/>
      <c r="K456" s="427"/>
      <c r="L456" s="428"/>
    </row>
    <row r="457" ht="15.95" customHeight="1" spans="1:12">
      <c r="A457" s="422">
        <v>438</v>
      </c>
      <c r="B457" s="423" t="e">
        <f t="shared" si="7"/>
        <v>#DIV/0!</v>
      </c>
      <c r="C457" s="424"/>
      <c r="D457" s="425"/>
      <c r="E457" s="429"/>
      <c r="F457" s="426">
        <v>438</v>
      </c>
      <c r="G457" s="427"/>
      <c r="H457" s="428"/>
      <c r="I457" s="427"/>
      <c r="J457" s="428"/>
      <c r="K457" s="427"/>
      <c r="L457" s="428"/>
    </row>
    <row r="458" ht="15.95" customHeight="1" spans="1:12">
      <c r="A458" s="422">
        <v>439</v>
      </c>
      <c r="B458" s="423" t="e">
        <f t="shared" si="7"/>
        <v>#DIV/0!</v>
      </c>
      <c r="C458" s="424"/>
      <c r="D458" s="425"/>
      <c r="E458" s="429"/>
      <c r="F458" s="426">
        <v>439</v>
      </c>
      <c r="G458" s="427"/>
      <c r="H458" s="428"/>
      <c r="I458" s="427"/>
      <c r="J458" s="428"/>
      <c r="K458" s="427"/>
      <c r="L458" s="428"/>
    </row>
    <row r="459" ht="15.95" customHeight="1" spans="1:12">
      <c r="A459" s="422">
        <v>440</v>
      </c>
      <c r="B459" s="423" t="e">
        <f t="shared" si="7"/>
        <v>#DIV/0!</v>
      </c>
      <c r="C459" s="424"/>
      <c r="D459" s="425"/>
      <c r="E459" s="429"/>
      <c r="F459" s="426">
        <v>440</v>
      </c>
      <c r="G459" s="427"/>
      <c r="H459" s="428"/>
      <c r="I459" s="427"/>
      <c r="J459" s="428"/>
      <c r="K459" s="427"/>
      <c r="L459" s="428"/>
    </row>
    <row r="460" ht="15.95" customHeight="1" spans="1:12">
      <c r="A460" s="422">
        <v>441</v>
      </c>
      <c r="B460" s="423" t="e">
        <f t="shared" si="7"/>
        <v>#DIV/0!</v>
      </c>
      <c r="C460" s="424"/>
      <c r="D460" s="425"/>
      <c r="E460" s="429"/>
      <c r="F460" s="426">
        <v>441</v>
      </c>
      <c r="G460" s="427"/>
      <c r="H460" s="428"/>
      <c r="I460" s="427"/>
      <c r="J460" s="428"/>
      <c r="K460" s="427"/>
      <c r="L460" s="428"/>
    </row>
    <row r="461" ht="15.95" customHeight="1" spans="1:12">
      <c r="A461" s="422">
        <v>442</v>
      </c>
      <c r="B461" s="423" t="e">
        <f t="shared" si="7"/>
        <v>#DIV/0!</v>
      </c>
      <c r="C461" s="424"/>
      <c r="D461" s="425"/>
      <c r="E461" s="429"/>
      <c r="F461" s="426">
        <v>442</v>
      </c>
      <c r="G461" s="427"/>
      <c r="H461" s="428"/>
      <c r="I461" s="427"/>
      <c r="J461" s="428"/>
      <c r="K461" s="427"/>
      <c r="L461" s="428"/>
    </row>
    <row r="462" ht="15.95" customHeight="1" spans="1:12">
      <c r="A462" s="422">
        <v>443</v>
      </c>
      <c r="B462" s="423" t="e">
        <f t="shared" si="7"/>
        <v>#DIV/0!</v>
      </c>
      <c r="C462" s="424"/>
      <c r="D462" s="425"/>
      <c r="E462" s="429"/>
      <c r="F462" s="426">
        <v>443</v>
      </c>
      <c r="G462" s="427"/>
      <c r="H462" s="428"/>
      <c r="I462" s="427"/>
      <c r="J462" s="428"/>
      <c r="K462" s="427"/>
      <c r="L462" s="428"/>
    </row>
    <row r="463" ht="15.95" customHeight="1" spans="1:12">
      <c r="A463" s="422">
        <v>444</v>
      </c>
      <c r="B463" s="423" t="e">
        <f t="shared" si="7"/>
        <v>#DIV/0!</v>
      </c>
      <c r="C463" s="424"/>
      <c r="D463" s="425"/>
      <c r="E463" s="429"/>
      <c r="F463" s="426">
        <v>444</v>
      </c>
      <c r="G463" s="427"/>
      <c r="H463" s="428"/>
      <c r="I463" s="427"/>
      <c r="J463" s="428"/>
      <c r="K463" s="427"/>
      <c r="L463" s="428"/>
    </row>
    <row r="464" ht="15.95" customHeight="1" spans="1:12">
      <c r="A464" s="422">
        <v>445</v>
      </c>
      <c r="B464" s="423" t="e">
        <f t="shared" si="7"/>
        <v>#DIV/0!</v>
      </c>
      <c r="C464" s="424"/>
      <c r="D464" s="425"/>
      <c r="E464" s="429"/>
      <c r="F464" s="426">
        <v>445</v>
      </c>
      <c r="G464" s="427"/>
      <c r="H464" s="428"/>
      <c r="I464" s="427"/>
      <c r="J464" s="428"/>
      <c r="K464" s="427"/>
      <c r="L464" s="428"/>
    </row>
    <row r="465" ht="15.95" customHeight="1" spans="1:12">
      <c r="A465" s="422">
        <v>446</v>
      </c>
      <c r="B465" s="423" t="e">
        <f t="shared" si="7"/>
        <v>#DIV/0!</v>
      </c>
      <c r="C465" s="424"/>
      <c r="D465" s="425"/>
      <c r="E465" s="429"/>
      <c r="F465" s="426">
        <v>446</v>
      </c>
      <c r="G465" s="427"/>
      <c r="H465" s="428"/>
      <c r="I465" s="427"/>
      <c r="J465" s="428"/>
      <c r="K465" s="427"/>
      <c r="L465" s="428"/>
    </row>
    <row r="466" ht="15.95" customHeight="1" spans="1:12">
      <c r="A466" s="422">
        <v>447</v>
      </c>
      <c r="B466" s="423" t="e">
        <f t="shared" si="7"/>
        <v>#DIV/0!</v>
      </c>
      <c r="C466" s="424"/>
      <c r="D466" s="425"/>
      <c r="E466" s="429"/>
      <c r="F466" s="426">
        <v>447</v>
      </c>
      <c r="G466" s="427"/>
      <c r="H466" s="428"/>
      <c r="I466" s="427"/>
      <c r="J466" s="428"/>
      <c r="K466" s="427"/>
      <c r="L466" s="428"/>
    </row>
    <row r="467" ht="15.95" customHeight="1" spans="1:12">
      <c r="A467" s="422">
        <v>448</v>
      </c>
      <c r="B467" s="423" t="e">
        <f t="shared" si="7"/>
        <v>#DIV/0!</v>
      </c>
      <c r="C467" s="424"/>
      <c r="D467" s="425"/>
      <c r="E467" s="429"/>
      <c r="F467" s="426">
        <v>448</v>
      </c>
      <c r="G467" s="427"/>
      <c r="H467" s="428"/>
      <c r="I467" s="427"/>
      <c r="J467" s="428"/>
      <c r="K467" s="427"/>
      <c r="L467" s="428"/>
    </row>
    <row r="468" ht="15.95" customHeight="1" spans="1:12">
      <c r="A468" s="422">
        <v>449</v>
      </c>
      <c r="B468" s="423" t="e">
        <f t="shared" ref="B468:B531" si="8">AVERAGE(G468:L468)</f>
        <v>#DIV/0!</v>
      </c>
      <c r="C468" s="424"/>
      <c r="D468" s="425"/>
      <c r="E468" s="429"/>
      <c r="F468" s="426">
        <v>449</v>
      </c>
      <c r="G468" s="427"/>
      <c r="H468" s="428"/>
      <c r="I468" s="427"/>
      <c r="J468" s="428"/>
      <c r="K468" s="427"/>
      <c r="L468" s="428"/>
    </row>
    <row r="469" ht="15.95" customHeight="1" spans="1:12">
      <c r="A469" s="422">
        <v>450</v>
      </c>
      <c r="B469" s="423" t="e">
        <f t="shared" si="8"/>
        <v>#DIV/0!</v>
      </c>
      <c r="C469" s="424"/>
      <c r="D469" s="425"/>
      <c r="E469" s="429"/>
      <c r="F469" s="426">
        <v>450</v>
      </c>
      <c r="G469" s="427"/>
      <c r="H469" s="428"/>
      <c r="I469" s="427"/>
      <c r="J469" s="428"/>
      <c r="K469" s="427"/>
      <c r="L469" s="428"/>
    </row>
    <row r="470" ht="15.95" customHeight="1" spans="1:12">
      <c r="A470" s="422">
        <v>451</v>
      </c>
      <c r="B470" s="423" t="e">
        <f t="shared" si="8"/>
        <v>#DIV/0!</v>
      </c>
      <c r="C470" s="424"/>
      <c r="D470" s="425"/>
      <c r="E470" s="429"/>
      <c r="F470" s="426">
        <v>451</v>
      </c>
      <c r="G470" s="427"/>
      <c r="H470" s="428"/>
      <c r="I470" s="427"/>
      <c r="J470" s="428"/>
      <c r="K470" s="427"/>
      <c r="L470" s="428"/>
    </row>
    <row r="471" ht="15.95" customHeight="1" spans="1:12">
      <c r="A471" s="422">
        <v>452</v>
      </c>
      <c r="B471" s="423" t="e">
        <f t="shared" si="8"/>
        <v>#DIV/0!</v>
      </c>
      <c r="C471" s="424"/>
      <c r="D471" s="425"/>
      <c r="E471" s="429"/>
      <c r="F471" s="426">
        <v>452</v>
      </c>
      <c r="G471" s="427"/>
      <c r="H471" s="428"/>
      <c r="I471" s="427"/>
      <c r="J471" s="428"/>
      <c r="K471" s="427"/>
      <c r="L471" s="428"/>
    </row>
    <row r="472" ht="15.95" customHeight="1" spans="1:12">
      <c r="A472" s="422">
        <v>453</v>
      </c>
      <c r="B472" s="423" t="e">
        <f t="shared" si="8"/>
        <v>#DIV/0!</v>
      </c>
      <c r="C472" s="424"/>
      <c r="D472" s="425"/>
      <c r="E472" s="429"/>
      <c r="F472" s="426">
        <v>453</v>
      </c>
      <c r="G472" s="427"/>
      <c r="H472" s="428"/>
      <c r="I472" s="427"/>
      <c r="J472" s="428"/>
      <c r="K472" s="427"/>
      <c r="L472" s="428"/>
    </row>
    <row r="473" ht="15.95" customHeight="1" spans="1:12">
      <c r="A473" s="422">
        <v>454</v>
      </c>
      <c r="B473" s="423" t="e">
        <f t="shared" si="8"/>
        <v>#DIV/0!</v>
      </c>
      <c r="C473" s="424"/>
      <c r="D473" s="425"/>
      <c r="E473" s="429"/>
      <c r="F473" s="426">
        <v>454</v>
      </c>
      <c r="G473" s="427"/>
      <c r="H473" s="428"/>
      <c r="I473" s="427"/>
      <c r="J473" s="428"/>
      <c r="K473" s="427"/>
      <c r="L473" s="428"/>
    </row>
    <row r="474" ht="15.95" customHeight="1" spans="1:12">
      <c r="A474" s="422">
        <v>455</v>
      </c>
      <c r="B474" s="423" t="e">
        <f t="shared" si="8"/>
        <v>#DIV/0!</v>
      </c>
      <c r="C474" s="424"/>
      <c r="D474" s="425"/>
      <c r="E474" s="429"/>
      <c r="F474" s="426">
        <v>455</v>
      </c>
      <c r="G474" s="427"/>
      <c r="H474" s="428"/>
      <c r="I474" s="427"/>
      <c r="J474" s="428"/>
      <c r="K474" s="427"/>
      <c r="L474" s="428"/>
    </row>
    <row r="475" ht="15.95" customHeight="1" spans="1:12">
      <c r="A475" s="422">
        <v>456</v>
      </c>
      <c r="B475" s="423" t="e">
        <f t="shared" si="8"/>
        <v>#DIV/0!</v>
      </c>
      <c r="C475" s="424"/>
      <c r="D475" s="425"/>
      <c r="E475" s="429"/>
      <c r="F475" s="426">
        <v>456</v>
      </c>
      <c r="G475" s="427"/>
      <c r="H475" s="428"/>
      <c r="I475" s="427"/>
      <c r="J475" s="428"/>
      <c r="K475" s="427"/>
      <c r="L475" s="428"/>
    </row>
    <row r="476" ht="15.95" customHeight="1" spans="1:12">
      <c r="A476" s="422">
        <v>457</v>
      </c>
      <c r="B476" s="423" t="e">
        <f t="shared" si="8"/>
        <v>#DIV/0!</v>
      </c>
      <c r="C476" s="424"/>
      <c r="D476" s="425"/>
      <c r="E476" s="429"/>
      <c r="F476" s="426">
        <v>457</v>
      </c>
      <c r="G476" s="427"/>
      <c r="H476" s="428"/>
      <c r="I476" s="427"/>
      <c r="J476" s="428"/>
      <c r="K476" s="427"/>
      <c r="L476" s="428"/>
    </row>
    <row r="477" ht="15.95" customHeight="1" spans="1:12">
      <c r="A477" s="422">
        <v>458</v>
      </c>
      <c r="B477" s="423" t="e">
        <f t="shared" si="8"/>
        <v>#DIV/0!</v>
      </c>
      <c r="C477" s="424"/>
      <c r="D477" s="425"/>
      <c r="E477" s="429"/>
      <c r="F477" s="426">
        <v>458</v>
      </c>
      <c r="G477" s="427"/>
      <c r="H477" s="428"/>
      <c r="I477" s="427"/>
      <c r="J477" s="428"/>
      <c r="K477" s="427"/>
      <c r="L477" s="428"/>
    </row>
    <row r="478" ht="15.95" customHeight="1" spans="1:12">
      <c r="A478" s="422">
        <v>459</v>
      </c>
      <c r="B478" s="423" t="e">
        <f t="shared" si="8"/>
        <v>#DIV/0!</v>
      </c>
      <c r="C478" s="424"/>
      <c r="D478" s="425"/>
      <c r="E478" s="429"/>
      <c r="F478" s="426">
        <v>459</v>
      </c>
      <c r="G478" s="427"/>
      <c r="H478" s="428"/>
      <c r="I478" s="427"/>
      <c r="J478" s="428"/>
      <c r="K478" s="427"/>
      <c r="L478" s="428"/>
    </row>
    <row r="479" ht="15.95" customHeight="1" spans="1:12">
      <c r="A479" s="422">
        <v>460</v>
      </c>
      <c r="B479" s="423" t="e">
        <f t="shared" si="8"/>
        <v>#DIV/0!</v>
      </c>
      <c r="C479" s="424"/>
      <c r="D479" s="425"/>
      <c r="E479" s="429"/>
      <c r="F479" s="426">
        <v>460</v>
      </c>
      <c r="G479" s="427"/>
      <c r="H479" s="428"/>
      <c r="I479" s="427"/>
      <c r="J479" s="428"/>
      <c r="K479" s="427"/>
      <c r="L479" s="428"/>
    </row>
    <row r="480" ht="15.95" customHeight="1" spans="1:12">
      <c r="A480" s="422">
        <v>461</v>
      </c>
      <c r="B480" s="423" t="e">
        <f t="shared" si="8"/>
        <v>#DIV/0!</v>
      </c>
      <c r="C480" s="424"/>
      <c r="D480" s="425"/>
      <c r="E480" s="429"/>
      <c r="F480" s="426">
        <v>461</v>
      </c>
      <c r="G480" s="427"/>
      <c r="H480" s="428"/>
      <c r="I480" s="427"/>
      <c r="J480" s="428"/>
      <c r="K480" s="427"/>
      <c r="L480" s="428"/>
    </row>
    <row r="481" ht="15.95" customHeight="1" spans="1:12">
      <c r="A481" s="422">
        <v>462</v>
      </c>
      <c r="B481" s="423" t="e">
        <f t="shared" si="8"/>
        <v>#DIV/0!</v>
      </c>
      <c r="C481" s="424"/>
      <c r="D481" s="425"/>
      <c r="E481" s="429"/>
      <c r="F481" s="426">
        <v>462</v>
      </c>
      <c r="G481" s="427"/>
      <c r="H481" s="428"/>
      <c r="I481" s="427"/>
      <c r="J481" s="428"/>
      <c r="K481" s="427"/>
      <c r="L481" s="428"/>
    </row>
    <row r="482" ht="15.95" customHeight="1" spans="1:12">
      <c r="A482" s="422">
        <v>463</v>
      </c>
      <c r="B482" s="423" t="e">
        <f t="shared" si="8"/>
        <v>#DIV/0!</v>
      </c>
      <c r="C482" s="424"/>
      <c r="D482" s="425"/>
      <c r="E482" s="429"/>
      <c r="F482" s="426">
        <v>463</v>
      </c>
      <c r="G482" s="427"/>
      <c r="H482" s="428"/>
      <c r="I482" s="427"/>
      <c r="J482" s="428"/>
      <c r="K482" s="427"/>
      <c r="L482" s="428"/>
    </row>
    <row r="483" ht="15.95" customHeight="1" spans="1:12">
      <c r="A483" s="422">
        <v>464</v>
      </c>
      <c r="B483" s="423" t="e">
        <f t="shared" si="8"/>
        <v>#DIV/0!</v>
      </c>
      <c r="C483" s="424"/>
      <c r="D483" s="425"/>
      <c r="E483" s="429"/>
      <c r="F483" s="426">
        <v>464</v>
      </c>
      <c r="G483" s="427"/>
      <c r="H483" s="428"/>
      <c r="I483" s="427"/>
      <c r="J483" s="428"/>
      <c r="K483" s="427"/>
      <c r="L483" s="428"/>
    </row>
    <row r="484" ht="15.95" customHeight="1" spans="1:12">
      <c r="A484" s="422">
        <v>465</v>
      </c>
      <c r="B484" s="423" t="e">
        <f t="shared" si="8"/>
        <v>#DIV/0!</v>
      </c>
      <c r="C484" s="424"/>
      <c r="D484" s="425"/>
      <c r="E484" s="429"/>
      <c r="F484" s="426">
        <v>465</v>
      </c>
      <c r="G484" s="427"/>
      <c r="H484" s="428"/>
      <c r="I484" s="427"/>
      <c r="J484" s="428"/>
      <c r="K484" s="427"/>
      <c r="L484" s="428"/>
    </row>
    <row r="485" ht="15.95" customHeight="1" spans="1:12">
      <c r="A485" s="422">
        <v>466</v>
      </c>
      <c r="B485" s="423" t="e">
        <f t="shared" si="8"/>
        <v>#DIV/0!</v>
      </c>
      <c r="C485" s="424"/>
      <c r="D485" s="425"/>
      <c r="E485" s="429"/>
      <c r="F485" s="426">
        <v>466</v>
      </c>
      <c r="G485" s="427"/>
      <c r="H485" s="428"/>
      <c r="I485" s="427"/>
      <c r="J485" s="428"/>
      <c r="K485" s="427"/>
      <c r="L485" s="428"/>
    </row>
    <row r="486" ht="15.95" customHeight="1" spans="1:12">
      <c r="A486" s="422">
        <v>467</v>
      </c>
      <c r="B486" s="423" t="e">
        <f t="shared" si="8"/>
        <v>#DIV/0!</v>
      </c>
      <c r="C486" s="424"/>
      <c r="D486" s="425"/>
      <c r="E486" s="429"/>
      <c r="F486" s="426">
        <v>467</v>
      </c>
      <c r="G486" s="427"/>
      <c r="H486" s="428"/>
      <c r="I486" s="427"/>
      <c r="J486" s="428"/>
      <c r="K486" s="427"/>
      <c r="L486" s="428"/>
    </row>
    <row r="487" ht="15.95" customHeight="1" spans="1:12">
      <c r="A487" s="422">
        <v>468</v>
      </c>
      <c r="B487" s="423" t="e">
        <f t="shared" si="8"/>
        <v>#DIV/0!</v>
      </c>
      <c r="C487" s="424"/>
      <c r="D487" s="425"/>
      <c r="E487" s="429"/>
      <c r="F487" s="426">
        <v>468</v>
      </c>
      <c r="G487" s="427"/>
      <c r="H487" s="428"/>
      <c r="I487" s="427"/>
      <c r="J487" s="428"/>
      <c r="K487" s="427"/>
      <c r="L487" s="428"/>
    </row>
    <row r="488" ht="15.95" customHeight="1" spans="1:12">
      <c r="A488" s="422">
        <v>469</v>
      </c>
      <c r="B488" s="423" t="e">
        <f t="shared" si="8"/>
        <v>#DIV/0!</v>
      </c>
      <c r="C488" s="424"/>
      <c r="D488" s="425"/>
      <c r="E488" s="429"/>
      <c r="F488" s="426">
        <v>469</v>
      </c>
      <c r="G488" s="427"/>
      <c r="H488" s="428"/>
      <c r="I488" s="427"/>
      <c r="J488" s="428"/>
      <c r="K488" s="427"/>
      <c r="L488" s="428"/>
    </row>
    <row r="489" ht="15.95" customHeight="1" spans="1:12">
      <c r="A489" s="422">
        <v>470</v>
      </c>
      <c r="B489" s="423" t="e">
        <f t="shared" si="8"/>
        <v>#DIV/0!</v>
      </c>
      <c r="C489" s="424"/>
      <c r="D489" s="425"/>
      <c r="E489" s="429"/>
      <c r="F489" s="426">
        <v>470</v>
      </c>
      <c r="G489" s="427"/>
      <c r="H489" s="428"/>
      <c r="I489" s="427"/>
      <c r="J489" s="428"/>
      <c r="K489" s="427"/>
      <c r="L489" s="428"/>
    </row>
    <row r="490" ht="15.95" customHeight="1" spans="1:12">
      <c r="A490" s="422">
        <v>471</v>
      </c>
      <c r="B490" s="423" t="e">
        <f t="shared" si="8"/>
        <v>#DIV/0!</v>
      </c>
      <c r="C490" s="424"/>
      <c r="D490" s="425"/>
      <c r="E490" s="429"/>
      <c r="F490" s="426">
        <v>471</v>
      </c>
      <c r="G490" s="427"/>
      <c r="H490" s="428"/>
      <c r="I490" s="427"/>
      <c r="J490" s="428"/>
      <c r="K490" s="427"/>
      <c r="L490" s="428"/>
    </row>
    <row r="491" ht="15.95" customHeight="1" spans="1:12">
      <c r="A491" s="422">
        <v>472</v>
      </c>
      <c r="B491" s="423" t="e">
        <f t="shared" si="8"/>
        <v>#DIV/0!</v>
      </c>
      <c r="C491" s="424"/>
      <c r="D491" s="425"/>
      <c r="E491" s="429"/>
      <c r="F491" s="426">
        <v>472</v>
      </c>
      <c r="G491" s="427"/>
      <c r="H491" s="428"/>
      <c r="I491" s="427"/>
      <c r="J491" s="428"/>
      <c r="K491" s="427"/>
      <c r="L491" s="428"/>
    </row>
    <row r="492" ht="15.95" customHeight="1" spans="1:12">
      <c r="A492" s="422">
        <v>473</v>
      </c>
      <c r="B492" s="423" t="e">
        <f t="shared" si="8"/>
        <v>#DIV/0!</v>
      </c>
      <c r="C492" s="424"/>
      <c r="D492" s="425"/>
      <c r="E492" s="429"/>
      <c r="F492" s="426">
        <v>473</v>
      </c>
      <c r="G492" s="427"/>
      <c r="H492" s="428"/>
      <c r="I492" s="427"/>
      <c r="J492" s="428"/>
      <c r="K492" s="427"/>
      <c r="L492" s="428"/>
    </row>
    <row r="493" ht="15.95" customHeight="1" spans="1:12">
      <c r="A493" s="422">
        <v>474</v>
      </c>
      <c r="B493" s="423" t="e">
        <f t="shared" si="8"/>
        <v>#DIV/0!</v>
      </c>
      <c r="C493" s="424"/>
      <c r="D493" s="425"/>
      <c r="E493" s="429"/>
      <c r="F493" s="426">
        <v>474</v>
      </c>
      <c r="G493" s="427"/>
      <c r="H493" s="428"/>
      <c r="I493" s="427"/>
      <c r="J493" s="428"/>
      <c r="K493" s="427"/>
      <c r="L493" s="428"/>
    </row>
    <row r="494" ht="15.95" customHeight="1" spans="1:12">
      <c r="A494" s="422">
        <v>475</v>
      </c>
      <c r="B494" s="423" t="e">
        <f t="shared" si="8"/>
        <v>#DIV/0!</v>
      </c>
      <c r="C494" s="424"/>
      <c r="D494" s="425"/>
      <c r="E494" s="429"/>
      <c r="F494" s="426">
        <v>475</v>
      </c>
      <c r="G494" s="427"/>
      <c r="H494" s="428"/>
      <c r="I494" s="427"/>
      <c r="J494" s="428"/>
      <c r="K494" s="427"/>
      <c r="L494" s="428"/>
    </row>
    <row r="495" ht="15.95" customHeight="1" spans="1:12">
      <c r="A495" s="422">
        <v>476</v>
      </c>
      <c r="B495" s="423" t="e">
        <f t="shared" si="8"/>
        <v>#DIV/0!</v>
      </c>
      <c r="C495" s="424"/>
      <c r="D495" s="425"/>
      <c r="E495" s="429"/>
      <c r="F495" s="426">
        <v>476</v>
      </c>
      <c r="G495" s="427"/>
      <c r="H495" s="428"/>
      <c r="I495" s="427"/>
      <c r="J495" s="428"/>
      <c r="K495" s="427"/>
      <c r="L495" s="428"/>
    </row>
    <row r="496" ht="15.95" customHeight="1" spans="1:12">
      <c r="A496" s="422">
        <v>477</v>
      </c>
      <c r="B496" s="423" t="e">
        <f t="shared" si="8"/>
        <v>#DIV/0!</v>
      </c>
      <c r="C496" s="424"/>
      <c r="D496" s="425"/>
      <c r="E496" s="429"/>
      <c r="F496" s="426">
        <v>477</v>
      </c>
      <c r="G496" s="427"/>
      <c r="H496" s="428"/>
      <c r="I496" s="427"/>
      <c r="J496" s="428"/>
      <c r="K496" s="427"/>
      <c r="L496" s="428"/>
    </row>
    <row r="497" ht="15.95" customHeight="1" spans="1:12">
      <c r="A497" s="422">
        <v>478</v>
      </c>
      <c r="B497" s="423" t="e">
        <f t="shared" si="8"/>
        <v>#DIV/0!</v>
      </c>
      <c r="C497" s="424"/>
      <c r="D497" s="425"/>
      <c r="E497" s="429"/>
      <c r="F497" s="426">
        <v>478</v>
      </c>
      <c r="G497" s="427"/>
      <c r="H497" s="428"/>
      <c r="I497" s="427"/>
      <c r="J497" s="428"/>
      <c r="K497" s="427"/>
      <c r="L497" s="428"/>
    </row>
    <row r="498" ht="15.95" customHeight="1" spans="1:12">
      <c r="A498" s="422">
        <v>479</v>
      </c>
      <c r="B498" s="423" t="e">
        <f t="shared" si="8"/>
        <v>#DIV/0!</v>
      </c>
      <c r="C498" s="424"/>
      <c r="D498" s="425"/>
      <c r="E498" s="429"/>
      <c r="F498" s="426">
        <v>479</v>
      </c>
      <c r="G498" s="427"/>
      <c r="H498" s="428"/>
      <c r="I498" s="427"/>
      <c r="J498" s="428"/>
      <c r="K498" s="427"/>
      <c r="L498" s="428"/>
    </row>
    <row r="499" ht="15.95" customHeight="1" spans="1:12">
      <c r="A499" s="422">
        <v>480</v>
      </c>
      <c r="B499" s="423" t="e">
        <f t="shared" si="8"/>
        <v>#DIV/0!</v>
      </c>
      <c r="C499" s="424"/>
      <c r="D499" s="425"/>
      <c r="E499" s="429"/>
      <c r="F499" s="426">
        <v>480</v>
      </c>
      <c r="G499" s="427"/>
      <c r="H499" s="428"/>
      <c r="I499" s="427"/>
      <c r="J499" s="428"/>
      <c r="K499" s="427"/>
      <c r="L499" s="428"/>
    </row>
    <row r="500" ht="15.95" customHeight="1" spans="1:12">
      <c r="A500" s="422">
        <v>481</v>
      </c>
      <c r="B500" s="423" t="e">
        <f t="shared" si="8"/>
        <v>#DIV/0!</v>
      </c>
      <c r="C500" s="424"/>
      <c r="D500" s="425"/>
      <c r="E500" s="429"/>
      <c r="F500" s="426">
        <v>481</v>
      </c>
      <c r="G500" s="427"/>
      <c r="H500" s="428"/>
      <c r="I500" s="427"/>
      <c r="J500" s="428"/>
      <c r="K500" s="427"/>
      <c r="L500" s="428"/>
    </row>
    <row r="501" ht="15.95" customHeight="1" spans="1:12">
      <c r="A501" s="422">
        <v>482</v>
      </c>
      <c r="B501" s="423" t="e">
        <f t="shared" si="8"/>
        <v>#DIV/0!</v>
      </c>
      <c r="C501" s="424"/>
      <c r="D501" s="425"/>
      <c r="E501" s="429"/>
      <c r="F501" s="426">
        <v>482</v>
      </c>
      <c r="G501" s="427"/>
      <c r="H501" s="428"/>
      <c r="I501" s="427"/>
      <c r="J501" s="428"/>
      <c r="K501" s="427"/>
      <c r="L501" s="428"/>
    </row>
    <row r="502" ht="15.95" customHeight="1" spans="1:12">
      <c r="A502" s="422">
        <v>483</v>
      </c>
      <c r="B502" s="423" t="e">
        <f t="shared" si="8"/>
        <v>#DIV/0!</v>
      </c>
      <c r="C502" s="424"/>
      <c r="D502" s="425"/>
      <c r="E502" s="429"/>
      <c r="F502" s="426">
        <v>483</v>
      </c>
      <c r="G502" s="427"/>
      <c r="H502" s="428"/>
      <c r="I502" s="427"/>
      <c r="J502" s="428"/>
      <c r="K502" s="427"/>
      <c r="L502" s="428"/>
    </row>
    <row r="503" ht="15.95" customHeight="1" spans="1:12">
      <c r="A503" s="422">
        <v>484</v>
      </c>
      <c r="B503" s="423" t="e">
        <f t="shared" si="8"/>
        <v>#DIV/0!</v>
      </c>
      <c r="C503" s="424"/>
      <c r="D503" s="425"/>
      <c r="E503" s="429"/>
      <c r="F503" s="426">
        <v>484</v>
      </c>
      <c r="G503" s="427"/>
      <c r="H503" s="428"/>
      <c r="I503" s="427"/>
      <c r="J503" s="428"/>
      <c r="K503" s="427"/>
      <c r="L503" s="428"/>
    </row>
    <row r="504" ht="15.95" customHeight="1" spans="1:12">
      <c r="A504" s="422">
        <v>485</v>
      </c>
      <c r="B504" s="423" t="e">
        <f t="shared" si="8"/>
        <v>#DIV/0!</v>
      </c>
      <c r="C504" s="424"/>
      <c r="D504" s="425"/>
      <c r="E504" s="429"/>
      <c r="F504" s="426">
        <v>485</v>
      </c>
      <c r="G504" s="427"/>
      <c r="H504" s="428"/>
      <c r="I504" s="427"/>
      <c r="J504" s="428"/>
      <c r="K504" s="427"/>
      <c r="L504" s="428"/>
    </row>
    <row r="505" ht="15.95" customHeight="1" spans="1:12">
      <c r="A505" s="422">
        <v>486</v>
      </c>
      <c r="B505" s="423" t="e">
        <f t="shared" si="8"/>
        <v>#DIV/0!</v>
      </c>
      <c r="C505" s="424"/>
      <c r="D505" s="425"/>
      <c r="E505" s="429"/>
      <c r="F505" s="426">
        <v>486</v>
      </c>
      <c r="G505" s="427"/>
      <c r="H505" s="428"/>
      <c r="I505" s="427"/>
      <c r="J505" s="428"/>
      <c r="K505" s="427"/>
      <c r="L505" s="428"/>
    </row>
    <row r="506" ht="15.95" customHeight="1" spans="1:12">
      <c r="A506" s="422">
        <v>487</v>
      </c>
      <c r="B506" s="423" t="e">
        <f t="shared" si="8"/>
        <v>#DIV/0!</v>
      </c>
      <c r="C506" s="424"/>
      <c r="D506" s="425"/>
      <c r="E506" s="429"/>
      <c r="F506" s="426">
        <v>487</v>
      </c>
      <c r="G506" s="427"/>
      <c r="H506" s="428"/>
      <c r="I506" s="427"/>
      <c r="J506" s="428"/>
      <c r="K506" s="427"/>
      <c r="L506" s="428"/>
    </row>
    <row r="507" ht="15.95" customHeight="1" spans="1:12">
      <c r="A507" s="422">
        <v>488</v>
      </c>
      <c r="B507" s="423" t="e">
        <f t="shared" si="8"/>
        <v>#DIV/0!</v>
      </c>
      <c r="C507" s="424"/>
      <c r="D507" s="425"/>
      <c r="E507" s="429"/>
      <c r="F507" s="426">
        <v>488</v>
      </c>
      <c r="G507" s="427"/>
      <c r="H507" s="428"/>
      <c r="I507" s="427"/>
      <c r="J507" s="428"/>
      <c r="K507" s="427"/>
      <c r="L507" s="428"/>
    </row>
    <row r="508" ht="15.95" customHeight="1" spans="1:12">
      <c r="A508" s="422">
        <v>489</v>
      </c>
      <c r="B508" s="423" t="e">
        <f t="shared" si="8"/>
        <v>#DIV/0!</v>
      </c>
      <c r="C508" s="424"/>
      <c r="D508" s="425"/>
      <c r="E508" s="429"/>
      <c r="F508" s="426">
        <v>489</v>
      </c>
      <c r="G508" s="427"/>
      <c r="H508" s="428"/>
      <c r="I508" s="427"/>
      <c r="J508" s="428"/>
      <c r="K508" s="427"/>
      <c r="L508" s="428"/>
    </row>
    <row r="509" ht="15.95" customHeight="1" spans="1:12">
      <c r="A509" s="422">
        <v>490</v>
      </c>
      <c r="B509" s="423" t="e">
        <f t="shared" si="8"/>
        <v>#DIV/0!</v>
      </c>
      <c r="C509" s="424"/>
      <c r="D509" s="425"/>
      <c r="E509" s="429"/>
      <c r="F509" s="426">
        <v>490</v>
      </c>
      <c r="G509" s="427"/>
      <c r="H509" s="428"/>
      <c r="I509" s="427"/>
      <c r="J509" s="428"/>
      <c r="K509" s="427"/>
      <c r="L509" s="428"/>
    </row>
    <row r="510" ht="15.95" customHeight="1" spans="1:12">
      <c r="A510" s="422">
        <v>491</v>
      </c>
      <c r="B510" s="423" t="e">
        <f t="shared" si="8"/>
        <v>#DIV/0!</v>
      </c>
      <c r="C510" s="424"/>
      <c r="D510" s="425"/>
      <c r="E510" s="429"/>
      <c r="F510" s="426">
        <v>491</v>
      </c>
      <c r="G510" s="427"/>
      <c r="H510" s="428"/>
      <c r="I510" s="427"/>
      <c r="J510" s="428"/>
      <c r="K510" s="427"/>
      <c r="L510" s="428"/>
    </row>
    <row r="511" ht="15.95" customHeight="1" spans="1:12">
      <c r="A511" s="422">
        <v>492</v>
      </c>
      <c r="B511" s="423" t="e">
        <f t="shared" si="8"/>
        <v>#DIV/0!</v>
      </c>
      <c r="C511" s="424"/>
      <c r="D511" s="425"/>
      <c r="E511" s="429"/>
      <c r="F511" s="426">
        <v>492</v>
      </c>
      <c r="G511" s="427"/>
      <c r="H511" s="428"/>
      <c r="I511" s="427"/>
      <c r="J511" s="428"/>
      <c r="K511" s="427"/>
      <c r="L511" s="428"/>
    </row>
    <row r="512" ht="15.95" customHeight="1" spans="1:12">
      <c r="A512" s="422">
        <v>493</v>
      </c>
      <c r="B512" s="423" t="e">
        <f t="shared" si="8"/>
        <v>#DIV/0!</v>
      </c>
      <c r="C512" s="424"/>
      <c r="D512" s="425"/>
      <c r="E512" s="429"/>
      <c r="F512" s="426">
        <v>493</v>
      </c>
      <c r="G512" s="427"/>
      <c r="H512" s="428"/>
      <c r="I512" s="427"/>
      <c r="J512" s="428"/>
      <c r="K512" s="427"/>
      <c r="L512" s="428"/>
    </row>
    <row r="513" ht="15.95" customHeight="1" spans="1:12">
      <c r="A513" s="422">
        <v>494</v>
      </c>
      <c r="B513" s="423" t="e">
        <f t="shared" si="8"/>
        <v>#DIV/0!</v>
      </c>
      <c r="C513" s="424"/>
      <c r="D513" s="425"/>
      <c r="E513" s="429"/>
      <c r="F513" s="426">
        <v>494</v>
      </c>
      <c r="G513" s="427"/>
      <c r="H513" s="428"/>
      <c r="I513" s="427"/>
      <c r="J513" s="428"/>
      <c r="K513" s="427"/>
      <c r="L513" s="428"/>
    </row>
    <row r="514" ht="15.95" customHeight="1" spans="1:12">
      <c r="A514" s="422">
        <v>495</v>
      </c>
      <c r="B514" s="423" t="e">
        <f t="shared" si="8"/>
        <v>#DIV/0!</v>
      </c>
      <c r="C514" s="424"/>
      <c r="D514" s="425"/>
      <c r="E514" s="429"/>
      <c r="F514" s="426">
        <v>495</v>
      </c>
      <c r="G514" s="427"/>
      <c r="H514" s="428"/>
      <c r="I514" s="427"/>
      <c r="J514" s="428"/>
      <c r="K514" s="427"/>
      <c r="L514" s="428"/>
    </row>
    <row r="515" ht="15.95" customHeight="1" spans="1:12">
      <c r="A515" s="422">
        <v>496</v>
      </c>
      <c r="B515" s="423" t="e">
        <f t="shared" si="8"/>
        <v>#DIV/0!</v>
      </c>
      <c r="C515" s="424"/>
      <c r="D515" s="425"/>
      <c r="E515" s="429"/>
      <c r="F515" s="426">
        <v>496</v>
      </c>
      <c r="G515" s="427"/>
      <c r="H515" s="428"/>
      <c r="I515" s="427"/>
      <c r="J515" s="428"/>
      <c r="K515" s="427"/>
      <c r="L515" s="428"/>
    </row>
    <row r="516" ht="15.95" customHeight="1" spans="1:12">
      <c r="A516" s="422">
        <v>497</v>
      </c>
      <c r="B516" s="423" t="e">
        <f t="shared" si="8"/>
        <v>#DIV/0!</v>
      </c>
      <c r="C516" s="424"/>
      <c r="D516" s="425"/>
      <c r="E516" s="429"/>
      <c r="F516" s="426">
        <v>497</v>
      </c>
      <c r="G516" s="427"/>
      <c r="H516" s="428"/>
      <c r="I516" s="427"/>
      <c r="J516" s="428"/>
      <c r="K516" s="427"/>
      <c r="L516" s="428"/>
    </row>
    <row r="517" ht="15.95" customHeight="1" spans="1:12">
      <c r="A517" s="422">
        <v>498</v>
      </c>
      <c r="B517" s="423" t="e">
        <f t="shared" si="8"/>
        <v>#DIV/0!</v>
      </c>
      <c r="C517" s="424"/>
      <c r="D517" s="425"/>
      <c r="E517" s="429"/>
      <c r="F517" s="426">
        <v>498</v>
      </c>
      <c r="G517" s="427"/>
      <c r="H517" s="428"/>
      <c r="I517" s="427"/>
      <c r="J517" s="428"/>
      <c r="K517" s="427"/>
      <c r="L517" s="428"/>
    </row>
    <row r="518" ht="15.95" customHeight="1" spans="1:12">
      <c r="A518" s="422">
        <v>499</v>
      </c>
      <c r="B518" s="423" t="e">
        <f t="shared" si="8"/>
        <v>#DIV/0!</v>
      </c>
      <c r="C518" s="424"/>
      <c r="D518" s="425"/>
      <c r="E518" s="429"/>
      <c r="F518" s="426">
        <v>499</v>
      </c>
      <c r="G518" s="427"/>
      <c r="H518" s="428"/>
      <c r="I518" s="427"/>
      <c r="J518" s="428"/>
      <c r="K518" s="427"/>
      <c r="L518" s="428"/>
    </row>
    <row r="519" ht="15.95" customHeight="1" spans="1:12">
      <c r="A519" s="422">
        <v>500</v>
      </c>
      <c r="B519" s="423" t="e">
        <f t="shared" si="8"/>
        <v>#DIV/0!</v>
      </c>
      <c r="C519" s="424"/>
      <c r="D519" s="425"/>
      <c r="E519" s="429"/>
      <c r="F519" s="426">
        <v>500</v>
      </c>
      <c r="G519" s="427"/>
      <c r="H519" s="428"/>
      <c r="I519" s="427"/>
      <c r="J519" s="428"/>
      <c r="K519" s="427"/>
      <c r="L519" s="428"/>
    </row>
    <row r="520" ht="15.95" customHeight="1" spans="1:12">
      <c r="A520" s="422">
        <v>501</v>
      </c>
      <c r="B520" s="423" t="e">
        <f t="shared" si="8"/>
        <v>#DIV/0!</v>
      </c>
      <c r="C520" s="424"/>
      <c r="D520" s="425"/>
      <c r="E520" s="429"/>
      <c r="F520" s="426">
        <v>501</v>
      </c>
      <c r="G520" s="427"/>
      <c r="H520" s="428"/>
      <c r="I520" s="427"/>
      <c r="J520" s="428"/>
      <c r="K520" s="427"/>
      <c r="L520" s="428"/>
    </row>
    <row r="521" ht="15.95" customHeight="1" spans="1:12">
      <c r="A521" s="422">
        <v>502</v>
      </c>
      <c r="B521" s="423" t="e">
        <f t="shared" si="8"/>
        <v>#DIV/0!</v>
      </c>
      <c r="C521" s="424"/>
      <c r="D521" s="425"/>
      <c r="E521" s="429"/>
      <c r="F521" s="426">
        <v>502</v>
      </c>
      <c r="G521" s="427"/>
      <c r="H521" s="428"/>
      <c r="I521" s="427"/>
      <c r="J521" s="428"/>
      <c r="K521" s="427"/>
      <c r="L521" s="428"/>
    </row>
    <row r="522" ht="15.95" customHeight="1" spans="1:12">
      <c r="A522" s="422">
        <v>503</v>
      </c>
      <c r="B522" s="423" t="e">
        <f t="shared" si="8"/>
        <v>#DIV/0!</v>
      </c>
      <c r="C522" s="424"/>
      <c r="D522" s="425"/>
      <c r="E522" s="429"/>
      <c r="F522" s="426">
        <v>503</v>
      </c>
      <c r="G522" s="427"/>
      <c r="H522" s="428"/>
      <c r="I522" s="427"/>
      <c r="J522" s="428"/>
      <c r="K522" s="427"/>
      <c r="L522" s="428"/>
    </row>
    <row r="523" ht="15.95" customHeight="1" spans="1:12">
      <c r="A523" s="422">
        <v>504</v>
      </c>
      <c r="B523" s="423" t="e">
        <f t="shared" si="8"/>
        <v>#DIV/0!</v>
      </c>
      <c r="C523" s="424"/>
      <c r="D523" s="425"/>
      <c r="E523" s="429"/>
      <c r="F523" s="426">
        <v>504</v>
      </c>
      <c r="G523" s="427"/>
      <c r="H523" s="428"/>
      <c r="I523" s="427"/>
      <c r="J523" s="428"/>
      <c r="K523" s="427"/>
      <c r="L523" s="428"/>
    </row>
    <row r="524" ht="15.95" customHeight="1" spans="1:12">
      <c r="A524" s="422">
        <v>505</v>
      </c>
      <c r="B524" s="423" t="e">
        <f t="shared" si="8"/>
        <v>#DIV/0!</v>
      </c>
      <c r="C524" s="424"/>
      <c r="D524" s="425"/>
      <c r="E524" s="429"/>
      <c r="F524" s="426">
        <v>505</v>
      </c>
      <c r="G524" s="427"/>
      <c r="H524" s="428"/>
      <c r="I524" s="427"/>
      <c r="J524" s="428"/>
      <c r="K524" s="427"/>
      <c r="L524" s="428"/>
    </row>
    <row r="525" ht="15.95" customHeight="1" spans="1:12">
      <c r="A525" s="422">
        <v>506</v>
      </c>
      <c r="B525" s="423" t="e">
        <f t="shared" si="8"/>
        <v>#DIV/0!</v>
      </c>
      <c r="C525" s="424"/>
      <c r="D525" s="425"/>
      <c r="E525" s="429"/>
      <c r="F525" s="426">
        <v>506</v>
      </c>
      <c r="G525" s="427"/>
      <c r="H525" s="428"/>
      <c r="I525" s="427"/>
      <c r="J525" s="428"/>
      <c r="K525" s="427"/>
      <c r="L525" s="428"/>
    </row>
    <row r="526" ht="15.95" customHeight="1" spans="1:12">
      <c r="A526" s="422">
        <v>507</v>
      </c>
      <c r="B526" s="423" t="e">
        <f t="shared" si="8"/>
        <v>#DIV/0!</v>
      </c>
      <c r="C526" s="424"/>
      <c r="D526" s="425"/>
      <c r="E526" s="429"/>
      <c r="F526" s="426">
        <v>507</v>
      </c>
      <c r="G526" s="427"/>
      <c r="H526" s="428"/>
      <c r="I526" s="427"/>
      <c r="J526" s="428"/>
      <c r="K526" s="427"/>
      <c r="L526" s="428"/>
    </row>
    <row r="527" ht="15.95" customHeight="1" spans="1:12">
      <c r="A527" s="422">
        <v>508</v>
      </c>
      <c r="B527" s="423" t="e">
        <f t="shared" si="8"/>
        <v>#DIV/0!</v>
      </c>
      <c r="C527" s="424"/>
      <c r="D527" s="425"/>
      <c r="E527" s="429"/>
      <c r="F527" s="426">
        <v>508</v>
      </c>
      <c r="G527" s="427"/>
      <c r="H527" s="428"/>
      <c r="I527" s="427"/>
      <c r="J527" s="428"/>
      <c r="K527" s="427"/>
      <c r="L527" s="428"/>
    </row>
    <row r="528" ht="15.95" customHeight="1" spans="1:12">
      <c r="A528" s="422">
        <v>509</v>
      </c>
      <c r="B528" s="423" t="e">
        <f t="shared" si="8"/>
        <v>#DIV/0!</v>
      </c>
      <c r="C528" s="424"/>
      <c r="D528" s="425"/>
      <c r="E528" s="429"/>
      <c r="F528" s="426">
        <v>509</v>
      </c>
      <c r="G528" s="427"/>
      <c r="H528" s="428"/>
      <c r="I528" s="427"/>
      <c r="J528" s="428"/>
      <c r="K528" s="427"/>
      <c r="L528" s="428"/>
    </row>
    <row r="529" ht="15.95" customHeight="1" spans="1:12">
      <c r="A529" s="422">
        <v>510</v>
      </c>
      <c r="B529" s="423" t="e">
        <f t="shared" si="8"/>
        <v>#DIV/0!</v>
      </c>
      <c r="C529" s="424"/>
      <c r="D529" s="425"/>
      <c r="E529" s="429"/>
      <c r="F529" s="426">
        <v>510</v>
      </c>
      <c r="G529" s="427"/>
      <c r="H529" s="428"/>
      <c r="I529" s="427"/>
      <c r="J529" s="428"/>
      <c r="K529" s="427"/>
      <c r="L529" s="428"/>
    </row>
    <row r="530" ht="15.95" customHeight="1" spans="1:12">
      <c r="A530" s="422">
        <v>511</v>
      </c>
      <c r="B530" s="423" t="e">
        <f t="shared" si="8"/>
        <v>#DIV/0!</v>
      </c>
      <c r="C530" s="424"/>
      <c r="D530" s="425"/>
      <c r="E530" s="429"/>
      <c r="F530" s="426">
        <v>511</v>
      </c>
      <c r="G530" s="427"/>
      <c r="H530" s="428"/>
      <c r="I530" s="427"/>
      <c r="J530" s="428"/>
      <c r="K530" s="427"/>
      <c r="L530" s="428"/>
    </row>
    <row r="531" ht="15.95" customHeight="1" spans="1:12">
      <c r="A531" s="422">
        <v>512</v>
      </c>
      <c r="B531" s="423" t="e">
        <f t="shared" si="8"/>
        <v>#DIV/0!</v>
      </c>
      <c r="C531" s="424"/>
      <c r="D531" s="425"/>
      <c r="E531" s="429"/>
      <c r="F531" s="453">
        <v>512</v>
      </c>
      <c r="G531" s="454"/>
      <c r="H531" s="455"/>
      <c r="I531" s="454"/>
      <c r="J531" s="455"/>
      <c r="K531" s="454"/>
      <c r="L531" s="455"/>
    </row>
    <row r="532" spans="1:12">
      <c r="A532" s="456" t="s">
        <v>1736</v>
      </c>
      <c r="B532" s="457"/>
      <c r="C532" s="457"/>
      <c r="D532" s="458"/>
      <c r="E532" s="459"/>
      <c r="F532" s="460" t="s">
        <v>1736</v>
      </c>
      <c r="G532" s="457"/>
      <c r="H532" s="457"/>
      <c r="I532" s="457"/>
      <c r="J532" s="457"/>
      <c r="K532" s="457"/>
      <c r="L532" s="457"/>
    </row>
    <row r="533" spans="1:12">
      <c r="A533" s="456" t="s">
        <v>1737</v>
      </c>
      <c r="B533" s="457"/>
      <c r="C533" s="457"/>
      <c r="D533" s="461"/>
      <c r="E533" s="462"/>
      <c r="F533" s="460" t="s">
        <v>1737</v>
      </c>
      <c r="G533" s="457"/>
      <c r="H533" s="457"/>
      <c r="I533" s="457"/>
      <c r="J533" s="457"/>
      <c r="K533" s="457"/>
      <c r="L533" s="457"/>
    </row>
    <row r="534" spans="1:12">
      <c r="A534" s="456" t="s">
        <v>1738</v>
      </c>
      <c r="B534" s="457"/>
      <c r="C534" s="457"/>
      <c r="D534" s="461"/>
      <c r="E534" s="462"/>
      <c r="F534" s="460" t="s">
        <v>1738</v>
      </c>
      <c r="G534" s="457"/>
      <c r="H534" s="457"/>
      <c r="I534" s="457"/>
      <c r="J534" s="457"/>
      <c r="K534" s="457"/>
      <c r="L534" s="457"/>
    </row>
    <row r="535" spans="1:12">
      <c r="A535" s="456" t="s">
        <v>1739</v>
      </c>
      <c r="B535" s="457"/>
      <c r="C535" s="457"/>
      <c r="D535" s="463"/>
      <c r="E535" s="464"/>
      <c r="F535" s="460" t="s">
        <v>1739</v>
      </c>
      <c r="G535" s="457"/>
      <c r="H535" s="457"/>
      <c r="I535" s="457"/>
      <c r="J535" s="457"/>
      <c r="K535" s="457"/>
      <c r="L535" s="457"/>
    </row>
    <row r="536" spans="1:12">
      <c r="A536" s="457"/>
      <c r="B536" s="457"/>
      <c r="C536" s="457"/>
      <c r="D536" s="457"/>
      <c r="E536" s="457"/>
      <c r="F536" s="460" t="s">
        <v>1740</v>
      </c>
      <c r="G536" s="457"/>
      <c r="H536" s="457"/>
      <c r="I536" s="457"/>
      <c r="J536" s="457"/>
      <c r="K536" s="457"/>
      <c r="L536" s="457"/>
    </row>
    <row r="537" spans="1:12">
      <c r="A537" s="457"/>
      <c r="B537" s="457"/>
      <c r="C537" s="457"/>
      <c r="D537" s="457"/>
      <c r="E537" s="457"/>
      <c r="F537" s="460" t="s">
        <v>1741</v>
      </c>
      <c r="G537" s="457"/>
      <c r="H537" s="457"/>
      <c r="I537" s="457"/>
      <c r="J537" s="457"/>
      <c r="K537" s="457"/>
      <c r="L537" s="457"/>
    </row>
  </sheetData>
  <mergeCells count="2096">
    <mergeCell ref="A1:L1"/>
    <mergeCell ref="A2:L2"/>
    <mergeCell ref="A16:L16"/>
    <mergeCell ref="A17:L17"/>
    <mergeCell ref="B20:C20"/>
    <mergeCell ref="G20:H20"/>
    <mergeCell ref="I20:J20"/>
    <mergeCell ref="K20:L20"/>
    <mergeCell ref="B21:C21"/>
    <mergeCell ref="G21:H21"/>
    <mergeCell ref="I21:J21"/>
    <mergeCell ref="K21:L21"/>
    <mergeCell ref="B22:C22"/>
    <mergeCell ref="G22:H22"/>
    <mergeCell ref="I22:J22"/>
    <mergeCell ref="K22:L22"/>
    <mergeCell ref="B23:C23"/>
    <mergeCell ref="G23:H23"/>
    <mergeCell ref="I23:J23"/>
    <mergeCell ref="K23:L23"/>
    <mergeCell ref="B24:C24"/>
    <mergeCell ref="G24:H24"/>
    <mergeCell ref="I24:J24"/>
    <mergeCell ref="K24:L24"/>
    <mergeCell ref="B25:C25"/>
    <mergeCell ref="G25:H25"/>
    <mergeCell ref="I25:J25"/>
    <mergeCell ref="K25:L25"/>
    <mergeCell ref="B26:C26"/>
    <mergeCell ref="G26:H26"/>
    <mergeCell ref="I26:J26"/>
    <mergeCell ref="K26:L26"/>
    <mergeCell ref="B27:C27"/>
    <mergeCell ref="G27:H27"/>
    <mergeCell ref="I27:J27"/>
    <mergeCell ref="K27:L27"/>
    <mergeCell ref="B28:C28"/>
    <mergeCell ref="G28:H28"/>
    <mergeCell ref="I28:J28"/>
    <mergeCell ref="K28:L28"/>
    <mergeCell ref="B29:C29"/>
    <mergeCell ref="G29:H29"/>
    <mergeCell ref="I29:J29"/>
    <mergeCell ref="K29:L29"/>
    <mergeCell ref="B30:C30"/>
    <mergeCell ref="G30:H30"/>
    <mergeCell ref="I30:J30"/>
    <mergeCell ref="K30:L30"/>
    <mergeCell ref="B31:C31"/>
    <mergeCell ref="G31:H31"/>
    <mergeCell ref="I31:J31"/>
    <mergeCell ref="K31:L31"/>
    <mergeCell ref="B32:C32"/>
    <mergeCell ref="G32:H32"/>
    <mergeCell ref="I32:J32"/>
    <mergeCell ref="K32:L32"/>
    <mergeCell ref="B33:C33"/>
    <mergeCell ref="G33:H33"/>
    <mergeCell ref="I33:J33"/>
    <mergeCell ref="K33:L33"/>
    <mergeCell ref="B34:C34"/>
    <mergeCell ref="G34:H34"/>
    <mergeCell ref="I34:J34"/>
    <mergeCell ref="K34:L34"/>
    <mergeCell ref="B35:C35"/>
    <mergeCell ref="G35:H35"/>
    <mergeCell ref="I35:J35"/>
    <mergeCell ref="K35:L35"/>
    <mergeCell ref="B36:C36"/>
    <mergeCell ref="G36:H36"/>
    <mergeCell ref="I36:J36"/>
    <mergeCell ref="K36:L36"/>
    <mergeCell ref="B37:C37"/>
    <mergeCell ref="G37:H37"/>
    <mergeCell ref="I37:J37"/>
    <mergeCell ref="K37:L37"/>
    <mergeCell ref="B38:C38"/>
    <mergeCell ref="G38:H38"/>
    <mergeCell ref="I38:J38"/>
    <mergeCell ref="K38:L38"/>
    <mergeCell ref="B39:C39"/>
    <mergeCell ref="G39:H39"/>
    <mergeCell ref="I39:J39"/>
    <mergeCell ref="K39:L39"/>
    <mergeCell ref="B40:C40"/>
    <mergeCell ref="G40:H40"/>
    <mergeCell ref="I40:J40"/>
    <mergeCell ref="K40:L40"/>
    <mergeCell ref="B41:C41"/>
    <mergeCell ref="G41:H41"/>
    <mergeCell ref="I41:J41"/>
    <mergeCell ref="K41:L41"/>
    <mergeCell ref="B42:C42"/>
    <mergeCell ref="G42:H42"/>
    <mergeCell ref="I42:J42"/>
    <mergeCell ref="K42:L42"/>
    <mergeCell ref="B43:C43"/>
    <mergeCell ref="G43:H43"/>
    <mergeCell ref="I43:J43"/>
    <mergeCell ref="K43:L43"/>
    <mergeCell ref="B44:C44"/>
    <mergeCell ref="G44:H44"/>
    <mergeCell ref="I44:J44"/>
    <mergeCell ref="K44:L44"/>
    <mergeCell ref="B45:C45"/>
    <mergeCell ref="G45:H45"/>
    <mergeCell ref="I45:J45"/>
    <mergeCell ref="K45:L45"/>
    <mergeCell ref="B46:C46"/>
    <mergeCell ref="G46:H46"/>
    <mergeCell ref="I46:J46"/>
    <mergeCell ref="K46:L46"/>
    <mergeCell ref="B47:C47"/>
    <mergeCell ref="G47:H47"/>
    <mergeCell ref="I47:J47"/>
    <mergeCell ref="K47:L47"/>
    <mergeCell ref="B48:C48"/>
    <mergeCell ref="G48:H48"/>
    <mergeCell ref="I48:J48"/>
    <mergeCell ref="K48:L48"/>
    <mergeCell ref="B49:C49"/>
    <mergeCell ref="G49:H49"/>
    <mergeCell ref="I49:J49"/>
    <mergeCell ref="K49:L49"/>
    <mergeCell ref="B50:C50"/>
    <mergeCell ref="G50:H50"/>
    <mergeCell ref="I50:J50"/>
    <mergeCell ref="K50:L50"/>
    <mergeCell ref="B51:C51"/>
    <mergeCell ref="G51:H51"/>
    <mergeCell ref="I51:J51"/>
    <mergeCell ref="K51:L51"/>
    <mergeCell ref="B52:C52"/>
    <mergeCell ref="G52:H52"/>
    <mergeCell ref="I52:J52"/>
    <mergeCell ref="K52:L52"/>
    <mergeCell ref="B53:C53"/>
    <mergeCell ref="G53:H53"/>
    <mergeCell ref="I53:J53"/>
    <mergeCell ref="K53:L53"/>
    <mergeCell ref="B54:C54"/>
    <mergeCell ref="G54:H54"/>
    <mergeCell ref="I54:J54"/>
    <mergeCell ref="K54:L54"/>
    <mergeCell ref="B55:C55"/>
    <mergeCell ref="G55:H55"/>
    <mergeCell ref="I55:J55"/>
    <mergeCell ref="K55:L55"/>
    <mergeCell ref="B56:C56"/>
    <mergeCell ref="G56:H56"/>
    <mergeCell ref="I56:J56"/>
    <mergeCell ref="K56:L56"/>
    <mergeCell ref="B57:C57"/>
    <mergeCell ref="G57:H57"/>
    <mergeCell ref="I57:J57"/>
    <mergeCell ref="K57:L57"/>
    <mergeCell ref="B58:C58"/>
    <mergeCell ref="G58:H58"/>
    <mergeCell ref="I58:J58"/>
    <mergeCell ref="K58:L58"/>
    <mergeCell ref="B59:C59"/>
    <mergeCell ref="G59:H59"/>
    <mergeCell ref="I59:J59"/>
    <mergeCell ref="K59:L59"/>
    <mergeCell ref="B60:C60"/>
    <mergeCell ref="G60:H60"/>
    <mergeCell ref="I60:J60"/>
    <mergeCell ref="K60:L60"/>
    <mergeCell ref="B61:C61"/>
    <mergeCell ref="G61:H61"/>
    <mergeCell ref="I61:J61"/>
    <mergeCell ref="K61:L61"/>
    <mergeCell ref="B62:C62"/>
    <mergeCell ref="G62:H62"/>
    <mergeCell ref="I62:J62"/>
    <mergeCell ref="K62:L62"/>
    <mergeCell ref="B63:C63"/>
    <mergeCell ref="G63:H63"/>
    <mergeCell ref="I63:J63"/>
    <mergeCell ref="K63:L63"/>
    <mergeCell ref="B64:C64"/>
    <mergeCell ref="G64:H64"/>
    <mergeCell ref="I64:J64"/>
    <mergeCell ref="K64:L64"/>
    <mergeCell ref="B65:C65"/>
    <mergeCell ref="G65:H65"/>
    <mergeCell ref="I65:J65"/>
    <mergeCell ref="K65:L65"/>
    <mergeCell ref="B66:C66"/>
    <mergeCell ref="G66:H66"/>
    <mergeCell ref="I66:J66"/>
    <mergeCell ref="K66:L66"/>
    <mergeCell ref="B67:C67"/>
    <mergeCell ref="G67:H67"/>
    <mergeCell ref="I67:J67"/>
    <mergeCell ref="K67:L67"/>
    <mergeCell ref="B68:C68"/>
    <mergeCell ref="G68:H68"/>
    <mergeCell ref="I68:J68"/>
    <mergeCell ref="K68:L68"/>
    <mergeCell ref="B69:C69"/>
    <mergeCell ref="G69:H69"/>
    <mergeCell ref="I69:J69"/>
    <mergeCell ref="K69:L69"/>
    <mergeCell ref="B70:C70"/>
    <mergeCell ref="G70:H70"/>
    <mergeCell ref="I70:J70"/>
    <mergeCell ref="K70:L70"/>
    <mergeCell ref="B71:C71"/>
    <mergeCell ref="G71:H71"/>
    <mergeCell ref="I71:J71"/>
    <mergeCell ref="K71:L71"/>
    <mergeCell ref="B72:C72"/>
    <mergeCell ref="G72:H72"/>
    <mergeCell ref="I72:J72"/>
    <mergeCell ref="K72:L72"/>
    <mergeCell ref="B73:C73"/>
    <mergeCell ref="G73:H73"/>
    <mergeCell ref="I73:J73"/>
    <mergeCell ref="K73:L73"/>
    <mergeCell ref="B74:C74"/>
    <mergeCell ref="G74:H74"/>
    <mergeCell ref="I74:J74"/>
    <mergeCell ref="K74:L74"/>
    <mergeCell ref="B75:C75"/>
    <mergeCell ref="G75:H75"/>
    <mergeCell ref="I75:J75"/>
    <mergeCell ref="K75:L75"/>
    <mergeCell ref="B76:C76"/>
    <mergeCell ref="G76:H76"/>
    <mergeCell ref="I76:J76"/>
    <mergeCell ref="K76:L76"/>
    <mergeCell ref="B77:C77"/>
    <mergeCell ref="G77:H77"/>
    <mergeCell ref="I77:J77"/>
    <mergeCell ref="K77:L77"/>
    <mergeCell ref="B78:C78"/>
    <mergeCell ref="G78:H78"/>
    <mergeCell ref="I78:J78"/>
    <mergeCell ref="K78:L78"/>
    <mergeCell ref="B79:C79"/>
    <mergeCell ref="G79:H79"/>
    <mergeCell ref="I79:J79"/>
    <mergeCell ref="K79:L79"/>
    <mergeCell ref="B80:C80"/>
    <mergeCell ref="G80:H80"/>
    <mergeCell ref="I80:J80"/>
    <mergeCell ref="K80:L80"/>
    <mergeCell ref="B81:C81"/>
    <mergeCell ref="G81:H81"/>
    <mergeCell ref="I81:J81"/>
    <mergeCell ref="K81:L81"/>
    <mergeCell ref="B82:C82"/>
    <mergeCell ref="G82:H82"/>
    <mergeCell ref="I82:J82"/>
    <mergeCell ref="K82:L82"/>
    <mergeCell ref="B83:C83"/>
    <mergeCell ref="G83:H83"/>
    <mergeCell ref="I83:J83"/>
    <mergeCell ref="K83:L83"/>
    <mergeCell ref="B84:C84"/>
    <mergeCell ref="G84:H84"/>
    <mergeCell ref="I84:J84"/>
    <mergeCell ref="K84:L84"/>
    <mergeCell ref="B85:C85"/>
    <mergeCell ref="G85:H85"/>
    <mergeCell ref="I85:J85"/>
    <mergeCell ref="K85:L85"/>
    <mergeCell ref="B86:C86"/>
    <mergeCell ref="G86:H86"/>
    <mergeCell ref="I86:J86"/>
    <mergeCell ref="K86:L86"/>
    <mergeCell ref="B87:C87"/>
    <mergeCell ref="G87:H87"/>
    <mergeCell ref="I87:J87"/>
    <mergeCell ref="K87:L87"/>
    <mergeCell ref="B88:C88"/>
    <mergeCell ref="G88:H88"/>
    <mergeCell ref="I88:J88"/>
    <mergeCell ref="K88:L88"/>
    <mergeCell ref="B89:C89"/>
    <mergeCell ref="G89:H89"/>
    <mergeCell ref="I89:J89"/>
    <mergeCell ref="K89:L89"/>
    <mergeCell ref="B90:C90"/>
    <mergeCell ref="G90:H90"/>
    <mergeCell ref="I90:J90"/>
    <mergeCell ref="K90:L90"/>
    <mergeCell ref="B91:C91"/>
    <mergeCell ref="G91:H91"/>
    <mergeCell ref="I91:J91"/>
    <mergeCell ref="K91:L91"/>
    <mergeCell ref="B92:C92"/>
    <mergeCell ref="G92:H92"/>
    <mergeCell ref="I92:J92"/>
    <mergeCell ref="K92:L92"/>
    <mergeCell ref="B93:C93"/>
    <mergeCell ref="G93:H93"/>
    <mergeCell ref="I93:J93"/>
    <mergeCell ref="K93:L93"/>
    <mergeCell ref="B94:C94"/>
    <mergeCell ref="G94:H94"/>
    <mergeCell ref="I94:J94"/>
    <mergeCell ref="K94:L94"/>
    <mergeCell ref="B95:C95"/>
    <mergeCell ref="G95:H95"/>
    <mergeCell ref="I95:J95"/>
    <mergeCell ref="K95:L95"/>
    <mergeCell ref="B96:C96"/>
    <mergeCell ref="G96:H96"/>
    <mergeCell ref="I96:J96"/>
    <mergeCell ref="K96:L96"/>
    <mergeCell ref="B97:C97"/>
    <mergeCell ref="G97:H97"/>
    <mergeCell ref="I97:J97"/>
    <mergeCell ref="K97:L97"/>
    <mergeCell ref="B98:C98"/>
    <mergeCell ref="G98:H98"/>
    <mergeCell ref="I98:J98"/>
    <mergeCell ref="K98:L98"/>
    <mergeCell ref="B99:C99"/>
    <mergeCell ref="G99:H99"/>
    <mergeCell ref="I99:J99"/>
    <mergeCell ref="K99:L99"/>
    <mergeCell ref="B100:C100"/>
    <mergeCell ref="G100:H100"/>
    <mergeCell ref="I100:J100"/>
    <mergeCell ref="K100:L100"/>
    <mergeCell ref="B101:C101"/>
    <mergeCell ref="G101:H101"/>
    <mergeCell ref="I101:J101"/>
    <mergeCell ref="K101:L101"/>
    <mergeCell ref="B102:C102"/>
    <mergeCell ref="G102:H102"/>
    <mergeCell ref="I102:J102"/>
    <mergeCell ref="K102:L102"/>
    <mergeCell ref="B103:C103"/>
    <mergeCell ref="G103:H103"/>
    <mergeCell ref="I103:J103"/>
    <mergeCell ref="K103:L103"/>
    <mergeCell ref="B104:C104"/>
    <mergeCell ref="G104:H104"/>
    <mergeCell ref="I104:J104"/>
    <mergeCell ref="K104:L104"/>
    <mergeCell ref="B105:C105"/>
    <mergeCell ref="G105:H105"/>
    <mergeCell ref="I105:J105"/>
    <mergeCell ref="K105:L105"/>
    <mergeCell ref="B106:C106"/>
    <mergeCell ref="G106:H106"/>
    <mergeCell ref="I106:J106"/>
    <mergeCell ref="K106:L106"/>
    <mergeCell ref="B107:C107"/>
    <mergeCell ref="G107:H107"/>
    <mergeCell ref="I107:J107"/>
    <mergeCell ref="K107:L107"/>
    <mergeCell ref="B108:C108"/>
    <mergeCell ref="G108:H108"/>
    <mergeCell ref="I108:J108"/>
    <mergeCell ref="K108:L108"/>
    <mergeCell ref="B109:C109"/>
    <mergeCell ref="G109:H109"/>
    <mergeCell ref="I109:J109"/>
    <mergeCell ref="K109:L109"/>
    <mergeCell ref="B110:C110"/>
    <mergeCell ref="G110:H110"/>
    <mergeCell ref="I110:J110"/>
    <mergeCell ref="K110:L110"/>
    <mergeCell ref="B111:C111"/>
    <mergeCell ref="G111:H111"/>
    <mergeCell ref="I111:J111"/>
    <mergeCell ref="K111:L111"/>
    <mergeCell ref="B112:C112"/>
    <mergeCell ref="G112:H112"/>
    <mergeCell ref="I112:J112"/>
    <mergeCell ref="K112:L112"/>
    <mergeCell ref="B113:C113"/>
    <mergeCell ref="G113:H113"/>
    <mergeCell ref="I113:J113"/>
    <mergeCell ref="K113:L113"/>
    <mergeCell ref="B114:C114"/>
    <mergeCell ref="G114:H114"/>
    <mergeCell ref="I114:J114"/>
    <mergeCell ref="K114:L114"/>
    <mergeCell ref="B115:C115"/>
    <mergeCell ref="G115:H115"/>
    <mergeCell ref="I115:J115"/>
    <mergeCell ref="K115:L115"/>
    <mergeCell ref="B116:C116"/>
    <mergeCell ref="G116:H116"/>
    <mergeCell ref="I116:J116"/>
    <mergeCell ref="K116:L116"/>
    <mergeCell ref="B117:C117"/>
    <mergeCell ref="G117:H117"/>
    <mergeCell ref="I117:J117"/>
    <mergeCell ref="K117:L117"/>
    <mergeCell ref="B118:C118"/>
    <mergeCell ref="G118:H118"/>
    <mergeCell ref="I118:J118"/>
    <mergeCell ref="K118:L118"/>
    <mergeCell ref="B119:C119"/>
    <mergeCell ref="G119:H119"/>
    <mergeCell ref="I119:J119"/>
    <mergeCell ref="K119:L119"/>
    <mergeCell ref="B120:C120"/>
    <mergeCell ref="G120:H120"/>
    <mergeCell ref="I120:J120"/>
    <mergeCell ref="K120:L120"/>
    <mergeCell ref="B121:C121"/>
    <mergeCell ref="G121:H121"/>
    <mergeCell ref="I121:J121"/>
    <mergeCell ref="K121:L121"/>
    <mergeCell ref="B122:C122"/>
    <mergeCell ref="G122:H122"/>
    <mergeCell ref="I122:J122"/>
    <mergeCell ref="K122:L122"/>
    <mergeCell ref="B123:C123"/>
    <mergeCell ref="G123:H123"/>
    <mergeCell ref="I123:J123"/>
    <mergeCell ref="K123:L123"/>
    <mergeCell ref="B124:C124"/>
    <mergeCell ref="G124:H124"/>
    <mergeCell ref="I124:J124"/>
    <mergeCell ref="K124:L124"/>
    <mergeCell ref="B125:C125"/>
    <mergeCell ref="G125:H125"/>
    <mergeCell ref="I125:J125"/>
    <mergeCell ref="K125:L125"/>
    <mergeCell ref="B126:C126"/>
    <mergeCell ref="G126:H126"/>
    <mergeCell ref="I126:J126"/>
    <mergeCell ref="K126:L126"/>
    <mergeCell ref="B127:C127"/>
    <mergeCell ref="G127:H127"/>
    <mergeCell ref="I127:J127"/>
    <mergeCell ref="K127:L127"/>
    <mergeCell ref="B128:C128"/>
    <mergeCell ref="G128:H128"/>
    <mergeCell ref="I128:J128"/>
    <mergeCell ref="K128:L128"/>
    <mergeCell ref="B129:C129"/>
    <mergeCell ref="G129:H129"/>
    <mergeCell ref="I129:J129"/>
    <mergeCell ref="K129:L129"/>
    <mergeCell ref="B130:C130"/>
    <mergeCell ref="G130:H130"/>
    <mergeCell ref="I130:J130"/>
    <mergeCell ref="K130:L130"/>
    <mergeCell ref="B131:C131"/>
    <mergeCell ref="G131:H131"/>
    <mergeCell ref="I131:J131"/>
    <mergeCell ref="K131:L131"/>
    <mergeCell ref="B132:C132"/>
    <mergeCell ref="G132:H132"/>
    <mergeCell ref="I132:J132"/>
    <mergeCell ref="K132:L132"/>
    <mergeCell ref="B133:C133"/>
    <mergeCell ref="G133:H133"/>
    <mergeCell ref="I133:J133"/>
    <mergeCell ref="K133:L133"/>
    <mergeCell ref="B134:C134"/>
    <mergeCell ref="G134:H134"/>
    <mergeCell ref="I134:J134"/>
    <mergeCell ref="K134:L134"/>
    <mergeCell ref="B135:C135"/>
    <mergeCell ref="G135:H135"/>
    <mergeCell ref="I135:J135"/>
    <mergeCell ref="K135:L135"/>
    <mergeCell ref="B136:C136"/>
    <mergeCell ref="G136:H136"/>
    <mergeCell ref="I136:J136"/>
    <mergeCell ref="K136:L136"/>
    <mergeCell ref="B137:C137"/>
    <mergeCell ref="G137:H137"/>
    <mergeCell ref="I137:J137"/>
    <mergeCell ref="K137:L137"/>
    <mergeCell ref="B138:C138"/>
    <mergeCell ref="G138:H138"/>
    <mergeCell ref="I138:J138"/>
    <mergeCell ref="K138:L138"/>
    <mergeCell ref="B139:C139"/>
    <mergeCell ref="G139:H139"/>
    <mergeCell ref="I139:J139"/>
    <mergeCell ref="K139:L139"/>
    <mergeCell ref="B140:C140"/>
    <mergeCell ref="G140:H140"/>
    <mergeCell ref="I140:J140"/>
    <mergeCell ref="K140:L140"/>
    <mergeCell ref="B141:C141"/>
    <mergeCell ref="G141:H141"/>
    <mergeCell ref="I141:J141"/>
    <mergeCell ref="K141:L141"/>
    <mergeCell ref="B142:C142"/>
    <mergeCell ref="G142:H142"/>
    <mergeCell ref="I142:J142"/>
    <mergeCell ref="K142:L142"/>
    <mergeCell ref="B143:C143"/>
    <mergeCell ref="G143:H143"/>
    <mergeCell ref="I143:J143"/>
    <mergeCell ref="K143:L143"/>
    <mergeCell ref="B144:C144"/>
    <mergeCell ref="G144:H144"/>
    <mergeCell ref="I144:J144"/>
    <mergeCell ref="K144:L144"/>
    <mergeCell ref="B145:C145"/>
    <mergeCell ref="G145:H145"/>
    <mergeCell ref="I145:J145"/>
    <mergeCell ref="K145:L145"/>
    <mergeCell ref="B146:C146"/>
    <mergeCell ref="G146:H146"/>
    <mergeCell ref="I146:J146"/>
    <mergeCell ref="K146:L146"/>
    <mergeCell ref="B147:C147"/>
    <mergeCell ref="G147:H147"/>
    <mergeCell ref="I147:J147"/>
    <mergeCell ref="K147:L147"/>
    <mergeCell ref="B148:C148"/>
    <mergeCell ref="G148:H148"/>
    <mergeCell ref="I148:J148"/>
    <mergeCell ref="K148:L148"/>
    <mergeCell ref="B149:C149"/>
    <mergeCell ref="G149:H149"/>
    <mergeCell ref="I149:J149"/>
    <mergeCell ref="K149:L149"/>
    <mergeCell ref="B150:C150"/>
    <mergeCell ref="G150:H150"/>
    <mergeCell ref="I150:J150"/>
    <mergeCell ref="K150:L150"/>
    <mergeCell ref="B151:C151"/>
    <mergeCell ref="G151:H151"/>
    <mergeCell ref="I151:J151"/>
    <mergeCell ref="K151:L151"/>
    <mergeCell ref="B152:C152"/>
    <mergeCell ref="G152:H152"/>
    <mergeCell ref="I152:J152"/>
    <mergeCell ref="K152:L152"/>
    <mergeCell ref="B153:C153"/>
    <mergeCell ref="G153:H153"/>
    <mergeCell ref="I153:J153"/>
    <mergeCell ref="K153:L153"/>
    <mergeCell ref="B154:C154"/>
    <mergeCell ref="G154:H154"/>
    <mergeCell ref="I154:J154"/>
    <mergeCell ref="K154:L154"/>
    <mergeCell ref="B155:C155"/>
    <mergeCell ref="G155:H155"/>
    <mergeCell ref="I155:J155"/>
    <mergeCell ref="K155:L155"/>
    <mergeCell ref="B156:C156"/>
    <mergeCell ref="G156:H156"/>
    <mergeCell ref="I156:J156"/>
    <mergeCell ref="K156:L156"/>
    <mergeCell ref="B157:C157"/>
    <mergeCell ref="G157:H157"/>
    <mergeCell ref="I157:J157"/>
    <mergeCell ref="K157:L157"/>
    <mergeCell ref="B158:C158"/>
    <mergeCell ref="G158:H158"/>
    <mergeCell ref="I158:J158"/>
    <mergeCell ref="K158:L158"/>
    <mergeCell ref="B159:C159"/>
    <mergeCell ref="G159:H159"/>
    <mergeCell ref="I159:J159"/>
    <mergeCell ref="K159:L159"/>
    <mergeCell ref="B160:C160"/>
    <mergeCell ref="G160:H160"/>
    <mergeCell ref="I160:J160"/>
    <mergeCell ref="K160:L160"/>
    <mergeCell ref="B161:C161"/>
    <mergeCell ref="G161:H161"/>
    <mergeCell ref="I161:J161"/>
    <mergeCell ref="K161:L161"/>
    <mergeCell ref="B162:C162"/>
    <mergeCell ref="G162:H162"/>
    <mergeCell ref="I162:J162"/>
    <mergeCell ref="K162:L162"/>
    <mergeCell ref="B163:C163"/>
    <mergeCell ref="G163:H163"/>
    <mergeCell ref="I163:J163"/>
    <mergeCell ref="K163:L163"/>
    <mergeCell ref="B164:C164"/>
    <mergeCell ref="G164:H164"/>
    <mergeCell ref="I164:J164"/>
    <mergeCell ref="K164:L164"/>
    <mergeCell ref="B165:C165"/>
    <mergeCell ref="G165:H165"/>
    <mergeCell ref="I165:J165"/>
    <mergeCell ref="K165:L165"/>
    <mergeCell ref="B166:C166"/>
    <mergeCell ref="G166:H166"/>
    <mergeCell ref="I166:J166"/>
    <mergeCell ref="K166:L166"/>
    <mergeCell ref="B167:C167"/>
    <mergeCell ref="G167:H167"/>
    <mergeCell ref="I167:J167"/>
    <mergeCell ref="K167:L167"/>
    <mergeCell ref="B168:C168"/>
    <mergeCell ref="G168:H168"/>
    <mergeCell ref="I168:J168"/>
    <mergeCell ref="K168:L168"/>
    <mergeCell ref="B169:C169"/>
    <mergeCell ref="G169:H169"/>
    <mergeCell ref="I169:J169"/>
    <mergeCell ref="K169:L169"/>
    <mergeCell ref="B170:C170"/>
    <mergeCell ref="G170:H170"/>
    <mergeCell ref="I170:J170"/>
    <mergeCell ref="K170:L170"/>
    <mergeCell ref="B171:C171"/>
    <mergeCell ref="G171:H171"/>
    <mergeCell ref="I171:J171"/>
    <mergeCell ref="K171:L171"/>
    <mergeCell ref="B172:C172"/>
    <mergeCell ref="G172:H172"/>
    <mergeCell ref="I172:J172"/>
    <mergeCell ref="K172:L172"/>
    <mergeCell ref="B173:C173"/>
    <mergeCell ref="G173:H173"/>
    <mergeCell ref="I173:J173"/>
    <mergeCell ref="K173:L173"/>
    <mergeCell ref="B174:C174"/>
    <mergeCell ref="G174:H174"/>
    <mergeCell ref="I174:J174"/>
    <mergeCell ref="K174:L174"/>
    <mergeCell ref="B175:C175"/>
    <mergeCell ref="G175:H175"/>
    <mergeCell ref="I175:J175"/>
    <mergeCell ref="K175:L175"/>
    <mergeCell ref="B176:C176"/>
    <mergeCell ref="G176:H176"/>
    <mergeCell ref="I176:J176"/>
    <mergeCell ref="K176:L176"/>
    <mergeCell ref="B177:C177"/>
    <mergeCell ref="G177:H177"/>
    <mergeCell ref="I177:J177"/>
    <mergeCell ref="K177:L177"/>
    <mergeCell ref="B178:C178"/>
    <mergeCell ref="G178:H178"/>
    <mergeCell ref="I178:J178"/>
    <mergeCell ref="K178:L178"/>
    <mergeCell ref="B179:C179"/>
    <mergeCell ref="G179:H179"/>
    <mergeCell ref="I179:J179"/>
    <mergeCell ref="K179:L179"/>
    <mergeCell ref="B180:C180"/>
    <mergeCell ref="G180:H180"/>
    <mergeCell ref="I180:J180"/>
    <mergeCell ref="K180:L180"/>
    <mergeCell ref="B181:C181"/>
    <mergeCell ref="G181:H181"/>
    <mergeCell ref="I181:J181"/>
    <mergeCell ref="K181:L181"/>
    <mergeCell ref="B182:C182"/>
    <mergeCell ref="G182:H182"/>
    <mergeCell ref="I182:J182"/>
    <mergeCell ref="K182:L182"/>
    <mergeCell ref="B183:C183"/>
    <mergeCell ref="G183:H183"/>
    <mergeCell ref="I183:J183"/>
    <mergeCell ref="K183:L183"/>
    <mergeCell ref="B184:C184"/>
    <mergeCell ref="G184:H184"/>
    <mergeCell ref="I184:J184"/>
    <mergeCell ref="K184:L184"/>
    <mergeCell ref="B185:C185"/>
    <mergeCell ref="G185:H185"/>
    <mergeCell ref="I185:J185"/>
    <mergeCell ref="K185:L185"/>
    <mergeCell ref="B186:C186"/>
    <mergeCell ref="G186:H186"/>
    <mergeCell ref="I186:J186"/>
    <mergeCell ref="K186:L186"/>
    <mergeCell ref="B187:C187"/>
    <mergeCell ref="G187:H187"/>
    <mergeCell ref="I187:J187"/>
    <mergeCell ref="K187:L187"/>
    <mergeCell ref="B188:C188"/>
    <mergeCell ref="G188:H188"/>
    <mergeCell ref="I188:J188"/>
    <mergeCell ref="K188:L188"/>
    <mergeCell ref="B189:C189"/>
    <mergeCell ref="G189:H189"/>
    <mergeCell ref="I189:J189"/>
    <mergeCell ref="K189:L189"/>
    <mergeCell ref="B190:C190"/>
    <mergeCell ref="G190:H190"/>
    <mergeCell ref="I190:J190"/>
    <mergeCell ref="K190:L190"/>
    <mergeCell ref="B191:C191"/>
    <mergeCell ref="G191:H191"/>
    <mergeCell ref="I191:J191"/>
    <mergeCell ref="K191:L191"/>
    <mergeCell ref="B192:C192"/>
    <mergeCell ref="G192:H192"/>
    <mergeCell ref="I192:J192"/>
    <mergeCell ref="K192:L192"/>
    <mergeCell ref="B193:C193"/>
    <mergeCell ref="G193:H193"/>
    <mergeCell ref="I193:J193"/>
    <mergeCell ref="K193:L193"/>
    <mergeCell ref="B194:C194"/>
    <mergeCell ref="G194:H194"/>
    <mergeCell ref="I194:J194"/>
    <mergeCell ref="K194:L194"/>
    <mergeCell ref="B195:C195"/>
    <mergeCell ref="G195:H195"/>
    <mergeCell ref="I195:J195"/>
    <mergeCell ref="K195:L195"/>
    <mergeCell ref="B196:C196"/>
    <mergeCell ref="G196:H196"/>
    <mergeCell ref="I196:J196"/>
    <mergeCell ref="K196:L196"/>
    <mergeCell ref="B197:C197"/>
    <mergeCell ref="G197:H197"/>
    <mergeCell ref="I197:J197"/>
    <mergeCell ref="K197:L197"/>
    <mergeCell ref="B198:C198"/>
    <mergeCell ref="G198:H198"/>
    <mergeCell ref="I198:J198"/>
    <mergeCell ref="K198:L198"/>
    <mergeCell ref="B199:C199"/>
    <mergeCell ref="G199:H199"/>
    <mergeCell ref="I199:J199"/>
    <mergeCell ref="K199:L199"/>
    <mergeCell ref="B200:C200"/>
    <mergeCell ref="G200:H200"/>
    <mergeCell ref="I200:J200"/>
    <mergeCell ref="K200:L200"/>
    <mergeCell ref="B201:C201"/>
    <mergeCell ref="G201:H201"/>
    <mergeCell ref="I201:J201"/>
    <mergeCell ref="K201:L201"/>
    <mergeCell ref="B202:C202"/>
    <mergeCell ref="G202:H202"/>
    <mergeCell ref="I202:J202"/>
    <mergeCell ref="K202:L202"/>
    <mergeCell ref="B203:C203"/>
    <mergeCell ref="G203:H203"/>
    <mergeCell ref="I203:J203"/>
    <mergeCell ref="K203:L203"/>
    <mergeCell ref="B204:C204"/>
    <mergeCell ref="G204:H204"/>
    <mergeCell ref="I204:J204"/>
    <mergeCell ref="K204:L204"/>
    <mergeCell ref="B205:C205"/>
    <mergeCell ref="G205:H205"/>
    <mergeCell ref="I205:J205"/>
    <mergeCell ref="K205:L205"/>
    <mergeCell ref="B206:C206"/>
    <mergeCell ref="G206:H206"/>
    <mergeCell ref="I206:J206"/>
    <mergeCell ref="K206:L206"/>
    <mergeCell ref="B207:C207"/>
    <mergeCell ref="G207:H207"/>
    <mergeCell ref="I207:J207"/>
    <mergeCell ref="K207:L207"/>
    <mergeCell ref="B208:C208"/>
    <mergeCell ref="G208:H208"/>
    <mergeCell ref="I208:J208"/>
    <mergeCell ref="K208:L208"/>
    <mergeCell ref="B209:C209"/>
    <mergeCell ref="G209:H209"/>
    <mergeCell ref="I209:J209"/>
    <mergeCell ref="K209:L209"/>
    <mergeCell ref="B210:C210"/>
    <mergeCell ref="G210:H210"/>
    <mergeCell ref="I210:J210"/>
    <mergeCell ref="K210:L210"/>
    <mergeCell ref="B211:C211"/>
    <mergeCell ref="G211:H211"/>
    <mergeCell ref="I211:J211"/>
    <mergeCell ref="K211:L211"/>
    <mergeCell ref="B212:C212"/>
    <mergeCell ref="G212:H212"/>
    <mergeCell ref="I212:J212"/>
    <mergeCell ref="K212:L212"/>
    <mergeCell ref="B213:C213"/>
    <mergeCell ref="G213:H213"/>
    <mergeCell ref="I213:J213"/>
    <mergeCell ref="K213:L213"/>
    <mergeCell ref="B214:C214"/>
    <mergeCell ref="G214:H214"/>
    <mergeCell ref="I214:J214"/>
    <mergeCell ref="K214:L214"/>
    <mergeCell ref="B215:C215"/>
    <mergeCell ref="G215:H215"/>
    <mergeCell ref="I215:J215"/>
    <mergeCell ref="K215:L215"/>
    <mergeCell ref="B216:C216"/>
    <mergeCell ref="G216:H216"/>
    <mergeCell ref="I216:J216"/>
    <mergeCell ref="K216:L216"/>
    <mergeCell ref="B217:C217"/>
    <mergeCell ref="G217:H217"/>
    <mergeCell ref="I217:J217"/>
    <mergeCell ref="K217:L217"/>
    <mergeCell ref="B218:C218"/>
    <mergeCell ref="G218:H218"/>
    <mergeCell ref="I218:J218"/>
    <mergeCell ref="K218:L218"/>
    <mergeCell ref="B219:C219"/>
    <mergeCell ref="G219:H219"/>
    <mergeCell ref="I219:J219"/>
    <mergeCell ref="K219:L219"/>
    <mergeCell ref="B220:C220"/>
    <mergeCell ref="G220:H220"/>
    <mergeCell ref="I220:J220"/>
    <mergeCell ref="K220:L220"/>
    <mergeCell ref="B221:C221"/>
    <mergeCell ref="G221:H221"/>
    <mergeCell ref="I221:J221"/>
    <mergeCell ref="K221:L221"/>
    <mergeCell ref="B222:C222"/>
    <mergeCell ref="G222:H222"/>
    <mergeCell ref="I222:J222"/>
    <mergeCell ref="K222:L222"/>
    <mergeCell ref="B223:C223"/>
    <mergeCell ref="G223:H223"/>
    <mergeCell ref="I223:J223"/>
    <mergeCell ref="K223:L223"/>
    <mergeCell ref="B224:C224"/>
    <mergeCell ref="G224:H224"/>
    <mergeCell ref="I224:J224"/>
    <mergeCell ref="K224:L224"/>
    <mergeCell ref="B225:C225"/>
    <mergeCell ref="G225:H225"/>
    <mergeCell ref="I225:J225"/>
    <mergeCell ref="K225:L225"/>
    <mergeCell ref="B226:C226"/>
    <mergeCell ref="G226:H226"/>
    <mergeCell ref="I226:J226"/>
    <mergeCell ref="K226:L226"/>
    <mergeCell ref="B227:C227"/>
    <mergeCell ref="G227:H227"/>
    <mergeCell ref="I227:J227"/>
    <mergeCell ref="K227:L227"/>
    <mergeCell ref="B228:C228"/>
    <mergeCell ref="G228:H228"/>
    <mergeCell ref="I228:J228"/>
    <mergeCell ref="K228:L228"/>
    <mergeCell ref="B229:C229"/>
    <mergeCell ref="G229:H229"/>
    <mergeCell ref="I229:J229"/>
    <mergeCell ref="K229:L229"/>
    <mergeCell ref="B230:C230"/>
    <mergeCell ref="G230:H230"/>
    <mergeCell ref="I230:J230"/>
    <mergeCell ref="K230:L230"/>
    <mergeCell ref="B231:C231"/>
    <mergeCell ref="G231:H231"/>
    <mergeCell ref="I231:J231"/>
    <mergeCell ref="K231:L231"/>
    <mergeCell ref="B232:C232"/>
    <mergeCell ref="G232:H232"/>
    <mergeCell ref="I232:J232"/>
    <mergeCell ref="K232:L232"/>
    <mergeCell ref="B233:C233"/>
    <mergeCell ref="G233:H233"/>
    <mergeCell ref="I233:J233"/>
    <mergeCell ref="K233:L233"/>
    <mergeCell ref="B234:C234"/>
    <mergeCell ref="G234:H234"/>
    <mergeCell ref="I234:J234"/>
    <mergeCell ref="K234:L234"/>
    <mergeCell ref="B235:C235"/>
    <mergeCell ref="G235:H235"/>
    <mergeCell ref="I235:J235"/>
    <mergeCell ref="K235:L235"/>
    <mergeCell ref="B236:C236"/>
    <mergeCell ref="G236:H236"/>
    <mergeCell ref="I236:J236"/>
    <mergeCell ref="K236:L236"/>
    <mergeCell ref="B237:C237"/>
    <mergeCell ref="G237:H237"/>
    <mergeCell ref="I237:J237"/>
    <mergeCell ref="K237:L237"/>
    <mergeCell ref="B238:C238"/>
    <mergeCell ref="G238:H238"/>
    <mergeCell ref="I238:J238"/>
    <mergeCell ref="K238:L238"/>
    <mergeCell ref="B239:C239"/>
    <mergeCell ref="G239:H239"/>
    <mergeCell ref="I239:J239"/>
    <mergeCell ref="K239:L239"/>
    <mergeCell ref="B240:C240"/>
    <mergeCell ref="G240:H240"/>
    <mergeCell ref="I240:J240"/>
    <mergeCell ref="K240:L240"/>
    <mergeCell ref="B241:C241"/>
    <mergeCell ref="G241:H241"/>
    <mergeCell ref="I241:J241"/>
    <mergeCell ref="K241:L241"/>
    <mergeCell ref="B242:C242"/>
    <mergeCell ref="G242:H242"/>
    <mergeCell ref="I242:J242"/>
    <mergeCell ref="K242:L242"/>
    <mergeCell ref="B243:C243"/>
    <mergeCell ref="G243:H243"/>
    <mergeCell ref="I243:J243"/>
    <mergeCell ref="K243:L243"/>
    <mergeCell ref="B244:C244"/>
    <mergeCell ref="G244:H244"/>
    <mergeCell ref="I244:J244"/>
    <mergeCell ref="K244:L244"/>
    <mergeCell ref="B245:C245"/>
    <mergeCell ref="G245:H245"/>
    <mergeCell ref="I245:J245"/>
    <mergeCell ref="K245:L245"/>
    <mergeCell ref="B246:C246"/>
    <mergeCell ref="G246:H246"/>
    <mergeCell ref="I246:J246"/>
    <mergeCell ref="K246:L246"/>
    <mergeCell ref="B247:C247"/>
    <mergeCell ref="G247:H247"/>
    <mergeCell ref="I247:J247"/>
    <mergeCell ref="K247:L247"/>
    <mergeCell ref="B248:C248"/>
    <mergeCell ref="G248:H248"/>
    <mergeCell ref="I248:J248"/>
    <mergeCell ref="K248:L248"/>
    <mergeCell ref="B249:C249"/>
    <mergeCell ref="G249:H249"/>
    <mergeCell ref="I249:J249"/>
    <mergeCell ref="K249:L249"/>
    <mergeCell ref="B250:C250"/>
    <mergeCell ref="G250:H250"/>
    <mergeCell ref="I250:J250"/>
    <mergeCell ref="K250:L250"/>
    <mergeCell ref="B251:C251"/>
    <mergeCell ref="G251:H251"/>
    <mergeCell ref="I251:J251"/>
    <mergeCell ref="K251:L251"/>
    <mergeCell ref="B252:C252"/>
    <mergeCell ref="G252:H252"/>
    <mergeCell ref="I252:J252"/>
    <mergeCell ref="K252:L252"/>
    <mergeCell ref="B253:C253"/>
    <mergeCell ref="G253:H253"/>
    <mergeCell ref="I253:J253"/>
    <mergeCell ref="K253:L253"/>
    <mergeCell ref="B254:C254"/>
    <mergeCell ref="G254:H254"/>
    <mergeCell ref="I254:J254"/>
    <mergeCell ref="K254:L254"/>
    <mergeCell ref="B255:C255"/>
    <mergeCell ref="G255:H255"/>
    <mergeCell ref="I255:J255"/>
    <mergeCell ref="K255:L255"/>
    <mergeCell ref="B256:C256"/>
    <mergeCell ref="G256:H256"/>
    <mergeCell ref="I256:J256"/>
    <mergeCell ref="K256:L256"/>
    <mergeCell ref="B257:C257"/>
    <mergeCell ref="G257:H257"/>
    <mergeCell ref="I257:J257"/>
    <mergeCell ref="K257:L257"/>
    <mergeCell ref="B258:C258"/>
    <mergeCell ref="G258:H258"/>
    <mergeCell ref="I258:J258"/>
    <mergeCell ref="K258:L258"/>
    <mergeCell ref="B259:C259"/>
    <mergeCell ref="G259:H259"/>
    <mergeCell ref="I259:J259"/>
    <mergeCell ref="K259:L259"/>
    <mergeCell ref="B260:C260"/>
    <mergeCell ref="G260:H260"/>
    <mergeCell ref="I260:J260"/>
    <mergeCell ref="K260:L260"/>
    <mergeCell ref="B261:C261"/>
    <mergeCell ref="G261:H261"/>
    <mergeCell ref="I261:J261"/>
    <mergeCell ref="K261:L261"/>
    <mergeCell ref="B262:C262"/>
    <mergeCell ref="G262:H262"/>
    <mergeCell ref="I262:J262"/>
    <mergeCell ref="K262:L262"/>
    <mergeCell ref="B263:C263"/>
    <mergeCell ref="G263:H263"/>
    <mergeCell ref="I263:J263"/>
    <mergeCell ref="K263:L263"/>
    <mergeCell ref="B264:C264"/>
    <mergeCell ref="G264:H264"/>
    <mergeCell ref="I264:J264"/>
    <mergeCell ref="K264:L264"/>
    <mergeCell ref="B265:C265"/>
    <mergeCell ref="G265:H265"/>
    <mergeCell ref="I265:J265"/>
    <mergeCell ref="K265:L265"/>
    <mergeCell ref="B266:C266"/>
    <mergeCell ref="G266:H266"/>
    <mergeCell ref="I266:J266"/>
    <mergeCell ref="K266:L266"/>
    <mergeCell ref="B267:C267"/>
    <mergeCell ref="G267:H267"/>
    <mergeCell ref="I267:J267"/>
    <mergeCell ref="K267:L267"/>
    <mergeCell ref="B268:C268"/>
    <mergeCell ref="G268:H268"/>
    <mergeCell ref="I268:J268"/>
    <mergeCell ref="K268:L268"/>
    <mergeCell ref="B269:C269"/>
    <mergeCell ref="G269:H269"/>
    <mergeCell ref="I269:J269"/>
    <mergeCell ref="K269:L269"/>
    <mergeCell ref="B270:C270"/>
    <mergeCell ref="G270:H270"/>
    <mergeCell ref="I270:J270"/>
    <mergeCell ref="K270:L270"/>
    <mergeCell ref="B271:C271"/>
    <mergeCell ref="G271:H271"/>
    <mergeCell ref="I271:J271"/>
    <mergeCell ref="K271:L271"/>
    <mergeCell ref="B272:C272"/>
    <mergeCell ref="G272:H272"/>
    <mergeCell ref="I272:J272"/>
    <mergeCell ref="K272:L272"/>
    <mergeCell ref="B273:C273"/>
    <mergeCell ref="G273:H273"/>
    <mergeCell ref="I273:J273"/>
    <mergeCell ref="K273:L273"/>
    <mergeCell ref="B274:C274"/>
    <mergeCell ref="G274:H274"/>
    <mergeCell ref="I274:J274"/>
    <mergeCell ref="K274:L274"/>
    <mergeCell ref="B275:C275"/>
    <mergeCell ref="G275:H275"/>
    <mergeCell ref="I275:J275"/>
    <mergeCell ref="K275:L275"/>
    <mergeCell ref="B276:C276"/>
    <mergeCell ref="G276:H276"/>
    <mergeCell ref="I276:J276"/>
    <mergeCell ref="K276:L276"/>
    <mergeCell ref="B277:C277"/>
    <mergeCell ref="G277:H277"/>
    <mergeCell ref="I277:J277"/>
    <mergeCell ref="K277:L277"/>
    <mergeCell ref="B278:C278"/>
    <mergeCell ref="G278:H278"/>
    <mergeCell ref="I278:J278"/>
    <mergeCell ref="K278:L278"/>
    <mergeCell ref="B279:C279"/>
    <mergeCell ref="G279:H279"/>
    <mergeCell ref="I279:J279"/>
    <mergeCell ref="K279:L279"/>
    <mergeCell ref="B280:C280"/>
    <mergeCell ref="G280:H280"/>
    <mergeCell ref="I280:J280"/>
    <mergeCell ref="K280:L280"/>
    <mergeCell ref="B281:C281"/>
    <mergeCell ref="G281:H281"/>
    <mergeCell ref="I281:J281"/>
    <mergeCell ref="K281:L281"/>
    <mergeCell ref="B282:C282"/>
    <mergeCell ref="G282:H282"/>
    <mergeCell ref="I282:J282"/>
    <mergeCell ref="K282:L282"/>
    <mergeCell ref="B283:C283"/>
    <mergeCell ref="G283:H283"/>
    <mergeCell ref="I283:J283"/>
    <mergeCell ref="K283:L283"/>
    <mergeCell ref="B284:C284"/>
    <mergeCell ref="G284:H284"/>
    <mergeCell ref="I284:J284"/>
    <mergeCell ref="K284:L284"/>
    <mergeCell ref="B285:C285"/>
    <mergeCell ref="G285:H285"/>
    <mergeCell ref="I285:J285"/>
    <mergeCell ref="K285:L285"/>
    <mergeCell ref="B286:C286"/>
    <mergeCell ref="G286:H286"/>
    <mergeCell ref="I286:J286"/>
    <mergeCell ref="K286:L286"/>
    <mergeCell ref="B287:C287"/>
    <mergeCell ref="G287:H287"/>
    <mergeCell ref="I287:J287"/>
    <mergeCell ref="K287:L287"/>
    <mergeCell ref="B288:C288"/>
    <mergeCell ref="G288:H288"/>
    <mergeCell ref="I288:J288"/>
    <mergeCell ref="K288:L288"/>
    <mergeCell ref="B289:C289"/>
    <mergeCell ref="G289:H289"/>
    <mergeCell ref="I289:J289"/>
    <mergeCell ref="K289:L289"/>
    <mergeCell ref="B290:C290"/>
    <mergeCell ref="G290:H290"/>
    <mergeCell ref="I290:J290"/>
    <mergeCell ref="K290:L290"/>
    <mergeCell ref="B291:C291"/>
    <mergeCell ref="G291:H291"/>
    <mergeCell ref="I291:J291"/>
    <mergeCell ref="K291:L291"/>
    <mergeCell ref="B292:C292"/>
    <mergeCell ref="G292:H292"/>
    <mergeCell ref="I292:J292"/>
    <mergeCell ref="K292:L292"/>
    <mergeCell ref="B293:C293"/>
    <mergeCell ref="G293:H293"/>
    <mergeCell ref="I293:J293"/>
    <mergeCell ref="K293:L293"/>
    <mergeCell ref="B294:C294"/>
    <mergeCell ref="G294:H294"/>
    <mergeCell ref="I294:J294"/>
    <mergeCell ref="K294:L294"/>
    <mergeCell ref="B295:C295"/>
    <mergeCell ref="G295:H295"/>
    <mergeCell ref="I295:J295"/>
    <mergeCell ref="K295:L295"/>
    <mergeCell ref="B296:C296"/>
    <mergeCell ref="G296:H296"/>
    <mergeCell ref="I296:J296"/>
    <mergeCell ref="K296:L296"/>
    <mergeCell ref="B297:C297"/>
    <mergeCell ref="G297:H297"/>
    <mergeCell ref="I297:J297"/>
    <mergeCell ref="K297:L297"/>
    <mergeCell ref="B298:C298"/>
    <mergeCell ref="G298:H298"/>
    <mergeCell ref="I298:J298"/>
    <mergeCell ref="K298:L298"/>
    <mergeCell ref="B299:C299"/>
    <mergeCell ref="G299:H299"/>
    <mergeCell ref="I299:J299"/>
    <mergeCell ref="K299:L299"/>
    <mergeCell ref="B300:C300"/>
    <mergeCell ref="G300:H300"/>
    <mergeCell ref="I300:J300"/>
    <mergeCell ref="K300:L300"/>
    <mergeCell ref="B301:C301"/>
    <mergeCell ref="G301:H301"/>
    <mergeCell ref="I301:J301"/>
    <mergeCell ref="K301:L301"/>
    <mergeCell ref="B302:C302"/>
    <mergeCell ref="G302:H302"/>
    <mergeCell ref="I302:J302"/>
    <mergeCell ref="K302:L302"/>
    <mergeCell ref="B303:C303"/>
    <mergeCell ref="G303:H303"/>
    <mergeCell ref="I303:J303"/>
    <mergeCell ref="K303:L303"/>
    <mergeCell ref="B304:C304"/>
    <mergeCell ref="G304:H304"/>
    <mergeCell ref="I304:J304"/>
    <mergeCell ref="K304:L304"/>
    <mergeCell ref="B305:C305"/>
    <mergeCell ref="G305:H305"/>
    <mergeCell ref="I305:J305"/>
    <mergeCell ref="K305:L305"/>
    <mergeCell ref="B306:C306"/>
    <mergeCell ref="G306:H306"/>
    <mergeCell ref="I306:J306"/>
    <mergeCell ref="K306:L306"/>
    <mergeCell ref="B307:C307"/>
    <mergeCell ref="G307:H307"/>
    <mergeCell ref="I307:J307"/>
    <mergeCell ref="K307:L307"/>
    <mergeCell ref="B308:C308"/>
    <mergeCell ref="G308:H308"/>
    <mergeCell ref="I308:J308"/>
    <mergeCell ref="K308:L308"/>
    <mergeCell ref="B309:C309"/>
    <mergeCell ref="G309:H309"/>
    <mergeCell ref="I309:J309"/>
    <mergeCell ref="K309:L309"/>
    <mergeCell ref="B310:C310"/>
    <mergeCell ref="G310:H310"/>
    <mergeCell ref="I310:J310"/>
    <mergeCell ref="K310:L310"/>
    <mergeCell ref="B311:C311"/>
    <mergeCell ref="G311:H311"/>
    <mergeCell ref="I311:J311"/>
    <mergeCell ref="K311:L311"/>
    <mergeCell ref="B312:C312"/>
    <mergeCell ref="G312:H312"/>
    <mergeCell ref="I312:J312"/>
    <mergeCell ref="K312:L312"/>
    <mergeCell ref="B313:C313"/>
    <mergeCell ref="G313:H313"/>
    <mergeCell ref="I313:J313"/>
    <mergeCell ref="K313:L313"/>
    <mergeCell ref="B314:C314"/>
    <mergeCell ref="G314:H314"/>
    <mergeCell ref="I314:J314"/>
    <mergeCell ref="K314:L314"/>
    <mergeCell ref="B315:C315"/>
    <mergeCell ref="G315:H315"/>
    <mergeCell ref="I315:J315"/>
    <mergeCell ref="K315:L315"/>
    <mergeCell ref="B316:C316"/>
    <mergeCell ref="G316:H316"/>
    <mergeCell ref="I316:J316"/>
    <mergeCell ref="K316:L316"/>
    <mergeCell ref="B317:C317"/>
    <mergeCell ref="G317:H317"/>
    <mergeCell ref="I317:J317"/>
    <mergeCell ref="K317:L317"/>
    <mergeCell ref="B318:C318"/>
    <mergeCell ref="G318:H318"/>
    <mergeCell ref="I318:J318"/>
    <mergeCell ref="K318:L318"/>
    <mergeCell ref="B319:C319"/>
    <mergeCell ref="G319:H319"/>
    <mergeCell ref="I319:J319"/>
    <mergeCell ref="K319:L319"/>
    <mergeCell ref="B320:C320"/>
    <mergeCell ref="G320:H320"/>
    <mergeCell ref="I320:J320"/>
    <mergeCell ref="K320:L320"/>
    <mergeCell ref="B321:C321"/>
    <mergeCell ref="G321:H321"/>
    <mergeCell ref="I321:J321"/>
    <mergeCell ref="K321:L321"/>
    <mergeCell ref="B322:C322"/>
    <mergeCell ref="G322:H322"/>
    <mergeCell ref="I322:J322"/>
    <mergeCell ref="K322:L322"/>
    <mergeCell ref="B323:C323"/>
    <mergeCell ref="G323:H323"/>
    <mergeCell ref="I323:J323"/>
    <mergeCell ref="K323:L323"/>
    <mergeCell ref="B324:C324"/>
    <mergeCell ref="G324:H324"/>
    <mergeCell ref="I324:J324"/>
    <mergeCell ref="K324:L324"/>
    <mergeCell ref="B325:C325"/>
    <mergeCell ref="G325:H325"/>
    <mergeCell ref="I325:J325"/>
    <mergeCell ref="K325:L325"/>
    <mergeCell ref="B326:C326"/>
    <mergeCell ref="G326:H326"/>
    <mergeCell ref="I326:J326"/>
    <mergeCell ref="K326:L326"/>
    <mergeCell ref="B327:C327"/>
    <mergeCell ref="G327:H327"/>
    <mergeCell ref="I327:J327"/>
    <mergeCell ref="K327:L327"/>
    <mergeCell ref="B328:C328"/>
    <mergeCell ref="G328:H328"/>
    <mergeCell ref="I328:J328"/>
    <mergeCell ref="K328:L328"/>
    <mergeCell ref="B329:C329"/>
    <mergeCell ref="G329:H329"/>
    <mergeCell ref="I329:J329"/>
    <mergeCell ref="K329:L329"/>
    <mergeCell ref="B330:C330"/>
    <mergeCell ref="G330:H330"/>
    <mergeCell ref="I330:J330"/>
    <mergeCell ref="K330:L330"/>
    <mergeCell ref="B331:C331"/>
    <mergeCell ref="G331:H331"/>
    <mergeCell ref="I331:J331"/>
    <mergeCell ref="K331:L331"/>
    <mergeCell ref="B332:C332"/>
    <mergeCell ref="G332:H332"/>
    <mergeCell ref="I332:J332"/>
    <mergeCell ref="K332:L332"/>
    <mergeCell ref="B333:C333"/>
    <mergeCell ref="G333:H333"/>
    <mergeCell ref="I333:J333"/>
    <mergeCell ref="K333:L333"/>
    <mergeCell ref="B334:C334"/>
    <mergeCell ref="G334:H334"/>
    <mergeCell ref="I334:J334"/>
    <mergeCell ref="K334:L334"/>
    <mergeCell ref="B335:C335"/>
    <mergeCell ref="G335:H335"/>
    <mergeCell ref="I335:J335"/>
    <mergeCell ref="K335:L335"/>
    <mergeCell ref="B336:C336"/>
    <mergeCell ref="G336:H336"/>
    <mergeCell ref="I336:J336"/>
    <mergeCell ref="K336:L336"/>
    <mergeCell ref="B337:C337"/>
    <mergeCell ref="G337:H337"/>
    <mergeCell ref="I337:J337"/>
    <mergeCell ref="K337:L337"/>
    <mergeCell ref="B338:C338"/>
    <mergeCell ref="G338:H338"/>
    <mergeCell ref="I338:J338"/>
    <mergeCell ref="K338:L338"/>
    <mergeCell ref="B339:C339"/>
    <mergeCell ref="G339:H339"/>
    <mergeCell ref="I339:J339"/>
    <mergeCell ref="K339:L339"/>
    <mergeCell ref="B340:C340"/>
    <mergeCell ref="G340:H340"/>
    <mergeCell ref="I340:J340"/>
    <mergeCell ref="K340:L340"/>
    <mergeCell ref="B341:C341"/>
    <mergeCell ref="G341:H341"/>
    <mergeCell ref="I341:J341"/>
    <mergeCell ref="K341:L341"/>
    <mergeCell ref="B342:C342"/>
    <mergeCell ref="G342:H342"/>
    <mergeCell ref="I342:J342"/>
    <mergeCell ref="K342:L342"/>
    <mergeCell ref="B343:C343"/>
    <mergeCell ref="G343:H343"/>
    <mergeCell ref="I343:J343"/>
    <mergeCell ref="K343:L343"/>
    <mergeCell ref="B344:C344"/>
    <mergeCell ref="G344:H344"/>
    <mergeCell ref="I344:J344"/>
    <mergeCell ref="K344:L344"/>
    <mergeCell ref="B345:C345"/>
    <mergeCell ref="G345:H345"/>
    <mergeCell ref="I345:J345"/>
    <mergeCell ref="K345:L345"/>
    <mergeCell ref="B346:C346"/>
    <mergeCell ref="G346:H346"/>
    <mergeCell ref="I346:J346"/>
    <mergeCell ref="K346:L346"/>
    <mergeCell ref="B347:C347"/>
    <mergeCell ref="G347:H347"/>
    <mergeCell ref="I347:J347"/>
    <mergeCell ref="K347:L347"/>
    <mergeCell ref="B348:C348"/>
    <mergeCell ref="G348:H348"/>
    <mergeCell ref="I348:J348"/>
    <mergeCell ref="K348:L348"/>
    <mergeCell ref="B349:C349"/>
    <mergeCell ref="G349:H349"/>
    <mergeCell ref="I349:J349"/>
    <mergeCell ref="K349:L349"/>
    <mergeCell ref="B350:C350"/>
    <mergeCell ref="G350:H350"/>
    <mergeCell ref="I350:J350"/>
    <mergeCell ref="K350:L350"/>
    <mergeCell ref="B351:C351"/>
    <mergeCell ref="G351:H351"/>
    <mergeCell ref="I351:J351"/>
    <mergeCell ref="K351:L351"/>
    <mergeCell ref="B352:C352"/>
    <mergeCell ref="G352:H352"/>
    <mergeCell ref="I352:J352"/>
    <mergeCell ref="K352:L352"/>
    <mergeCell ref="B353:C353"/>
    <mergeCell ref="G353:H353"/>
    <mergeCell ref="I353:J353"/>
    <mergeCell ref="K353:L353"/>
    <mergeCell ref="B354:C354"/>
    <mergeCell ref="G354:H354"/>
    <mergeCell ref="I354:J354"/>
    <mergeCell ref="K354:L354"/>
    <mergeCell ref="B355:C355"/>
    <mergeCell ref="G355:H355"/>
    <mergeCell ref="I355:J355"/>
    <mergeCell ref="K355:L355"/>
    <mergeCell ref="B356:C356"/>
    <mergeCell ref="G356:H356"/>
    <mergeCell ref="I356:J356"/>
    <mergeCell ref="K356:L356"/>
    <mergeCell ref="B357:C357"/>
    <mergeCell ref="G357:H357"/>
    <mergeCell ref="I357:J357"/>
    <mergeCell ref="K357:L357"/>
    <mergeCell ref="B358:C358"/>
    <mergeCell ref="G358:H358"/>
    <mergeCell ref="I358:J358"/>
    <mergeCell ref="K358:L358"/>
    <mergeCell ref="B359:C359"/>
    <mergeCell ref="G359:H359"/>
    <mergeCell ref="I359:J359"/>
    <mergeCell ref="K359:L359"/>
    <mergeCell ref="B360:C360"/>
    <mergeCell ref="G360:H360"/>
    <mergeCell ref="I360:J360"/>
    <mergeCell ref="K360:L360"/>
    <mergeCell ref="B361:C361"/>
    <mergeCell ref="G361:H361"/>
    <mergeCell ref="I361:J361"/>
    <mergeCell ref="K361:L361"/>
    <mergeCell ref="B362:C362"/>
    <mergeCell ref="G362:H362"/>
    <mergeCell ref="I362:J362"/>
    <mergeCell ref="K362:L362"/>
    <mergeCell ref="B363:C363"/>
    <mergeCell ref="G363:H363"/>
    <mergeCell ref="I363:J363"/>
    <mergeCell ref="K363:L363"/>
    <mergeCell ref="B364:C364"/>
    <mergeCell ref="G364:H364"/>
    <mergeCell ref="I364:J364"/>
    <mergeCell ref="K364:L364"/>
    <mergeCell ref="B365:C365"/>
    <mergeCell ref="G365:H365"/>
    <mergeCell ref="I365:J365"/>
    <mergeCell ref="K365:L365"/>
    <mergeCell ref="B366:C366"/>
    <mergeCell ref="G366:H366"/>
    <mergeCell ref="I366:J366"/>
    <mergeCell ref="K366:L366"/>
    <mergeCell ref="B367:C367"/>
    <mergeCell ref="G367:H367"/>
    <mergeCell ref="I367:J367"/>
    <mergeCell ref="K367:L367"/>
    <mergeCell ref="B368:C368"/>
    <mergeCell ref="G368:H368"/>
    <mergeCell ref="I368:J368"/>
    <mergeCell ref="K368:L368"/>
    <mergeCell ref="B369:C369"/>
    <mergeCell ref="G369:H369"/>
    <mergeCell ref="I369:J369"/>
    <mergeCell ref="K369:L369"/>
    <mergeCell ref="B370:C370"/>
    <mergeCell ref="G370:H370"/>
    <mergeCell ref="I370:J370"/>
    <mergeCell ref="K370:L370"/>
    <mergeCell ref="B371:C371"/>
    <mergeCell ref="G371:H371"/>
    <mergeCell ref="I371:J371"/>
    <mergeCell ref="K371:L371"/>
    <mergeCell ref="B372:C372"/>
    <mergeCell ref="G372:H372"/>
    <mergeCell ref="I372:J372"/>
    <mergeCell ref="K372:L372"/>
    <mergeCell ref="B373:C373"/>
    <mergeCell ref="G373:H373"/>
    <mergeCell ref="I373:J373"/>
    <mergeCell ref="K373:L373"/>
    <mergeCell ref="B374:C374"/>
    <mergeCell ref="G374:H374"/>
    <mergeCell ref="I374:J374"/>
    <mergeCell ref="K374:L374"/>
    <mergeCell ref="B375:C375"/>
    <mergeCell ref="G375:H375"/>
    <mergeCell ref="I375:J375"/>
    <mergeCell ref="K375:L375"/>
    <mergeCell ref="B376:C376"/>
    <mergeCell ref="G376:H376"/>
    <mergeCell ref="I376:J376"/>
    <mergeCell ref="K376:L376"/>
    <mergeCell ref="B377:C377"/>
    <mergeCell ref="G377:H377"/>
    <mergeCell ref="I377:J377"/>
    <mergeCell ref="K377:L377"/>
    <mergeCell ref="B378:C378"/>
    <mergeCell ref="G378:H378"/>
    <mergeCell ref="I378:J378"/>
    <mergeCell ref="K378:L378"/>
    <mergeCell ref="B379:C379"/>
    <mergeCell ref="G379:H379"/>
    <mergeCell ref="I379:J379"/>
    <mergeCell ref="K379:L379"/>
    <mergeCell ref="B380:C380"/>
    <mergeCell ref="G380:H380"/>
    <mergeCell ref="I380:J380"/>
    <mergeCell ref="K380:L380"/>
    <mergeCell ref="B381:C381"/>
    <mergeCell ref="G381:H381"/>
    <mergeCell ref="I381:J381"/>
    <mergeCell ref="K381:L381"/>
    <mergeCell ref="B382:C382"/>
    <mergeCell ref="G382:H382"/>
    <mergeCell ref="I382:J382"/>
    <mergeCell ref="K382:L382"/>
    <mergeCell ref="B383:C383"/>
    <mergeCell ref="G383:H383"/>
    <mergeCell ref="I383:J383"/>
    <mergeCell ref="K383:L383"/>
    <mergeCell ref="B384:C384"/>
    <mergeCell ref="G384:H384"/>
    <mergeCell ref="I384:J384"/>
    <mergeCell ref="K384:L384"/>
    <mergeCell ref="B385:C385"/>
    <mergeCell ref="G385:H385"/>
    <mergeCell ref="I385:J385"/>
    <mergeCell ref="K385:L385"/>
    <mergeCell ref="B386:C386"/>
    <mergeCell ref="G386:H386"/>
    <mergeCell ref="I386:J386"/>
    <mergeCell ref="K386:L386"/>
    <mergeCell ref="B387:C387"/>
    <mergeCell ref="G387:H387"/>
    <mergeCell ref="I387:J387"/>
    <mergeCell ref="K387:L387"/>
    <mergeCell ref="B388:C388"/>
    <mergeCell ref="G388:H388"/>
    <mergeCell ref="I388:J388"/>
    <mergeCell ref="K388:L388"/>
    <mergeCell ref="B389:C389"/>
    <mergeCell ref="G389:H389"/>
    <mergeCell ref="I389:J389"/>
    <mergeCell ref="K389:L389"/>
    <mergeCell ref="B390:C390"/>
    <mergeCell ref="G390:H390"/>
    <mergeCell ref="I390:J390"/>
    <mergeCell ref="K390:L390"/>
    <mergeCell ref="B391:C391"/>
    <mergeCell ref="G391:H391"/>
    <mergeCell ref="I391:J391"/>
    <mergeCell ref="K391:L391"/>
    <mergeCell ref="B392:C392"/>
    <mergeCell ref="G392:H392"/>
    <mergeCell ref="I392:J392"/>
    <mergeCell ref="K392:L392"/>
    <mergeCell ref="B393:C393"/>
    <mergeCell ref="G393:H393"/>
    <mergeCell ref="I393:J393"/>
    <mergeCell ref="K393:L393"/>
    <mergeCell ref="B394:C394"/>
    <mergeCell ref="G394:H394"/>
    <mergeCell ref="I394:J394"/>
    <mergeCell ref="K394:L394"/>
    <mergeCell ref="B395:C395"/>
    <mergeCell ref="G395:H395"/>
    <mergeCell ref="I395:J395"/>
    <mergeCell ref="K395:L395"/>
    <mergeCell ref="B396:C396"/>
    <mergeCell ref="G396:H396"/>
    <mergeCell ref="I396:J396"/>
    <mergeCell ref="K396:L396"/>
    <mergeCell ref="B397:C397"/>
    <mergeCell ref="G397:H397"/>
    <mergeCell ref="I397:J397"/>
    <mergeCell ref="K397:L397"/>
    <mergeCell ref="B398:C398"/>
    <mergeCell ref="G398:H398"/>
    <mergeCell ref="I398:J398"/>
    <mergeCell ref="K398:L398"/>
    <mergeCell ref="B399:C399"/>
    <mergeCell ref="G399:H399"/>
    <mergeCell ref="I399:J399"/>
    <mergeCell ref="K399:L399"/>
    <mergeCell ref="B400:C400"/>
    <mergeCell ref="G400:H400"/>
    <mergeCell ref="I400:J400"/>
    <mergeCell ref="K400:L400"/>
    <mergeCell ref="B401:C401"/>
    <mergeCell ref="G401:H401"/>
    <mergeCell ref="I401:J401"/>
    <mergeCell ref="K401:L401"/>
    <mergeCell ref="B402:C402"/>
    <mergeCell ref="G402:H402"/>
    <mergeCell ref="I402:J402"/>
    <mergeCell ref="K402:L402"/>
    <mergeCell ref="B403:C403"/>
    <mergeCell ref="G403:H403"/>
    <mergeCell ref="I403:J403"/>
    <mergeCell ref="K403:L403"/>
    <mergeCell ref="B404:C404"/>
    <mergeCell ref="G404:H404"/>
    <mergeCell ref="I404:J404"/>
    <mergeCell ref="K404:L404"/>
    <mergeCell ref="B405:C405"/>
    <mergeCell ref="G405:H405"/>
    <mergeCell ref="I405:J405"/>
    <mergeCell ref="K405:L405"/>
    <mergeCell ref="B406:C406"/>
    <mergeCell ref="G406:H406"/>
    <mergeCell ref="I406:J406"/>
    <mergeCell ref="K406:L406"/>
    <mergeCell ref="B407:C407"/>
    <mergeCell ref="G407:H407"/>
    <mergeCell ref="I407:J407"/>
    <mergeCell ref="K407:L407"/>
    <mergeCell ref="B408:C408"/>
    <mergeCell ref="G408:H408"/>
    <mergeCell ref="I408:J408"/>
    <mergeCell ref="K408:L408"/>
    <mergeCell ref="B409:C409"/>
    <mergeCell ref="G409:H409"/>
    <mergeCell ref="I409:J409"/>
    <mergeCell ref="K409:L409"/>
    <mergeCell ref="B410:C410"/>
    <mergeCell ref="G410:H410"/>
    <mergeCell ref="I410:J410"/>
    <mergeCell ref="K410:L410"/>
    <mergeCell ref="B411:C411"/>
    <mergeCell ref="G411:H411"/>
    <mergeCell ref="I411:J411"/>
    <mergeCell ref="K411:L411"/>
    <mergeCell ref="B412:C412"/>
    <mergeCell ref="G412:H412"/>
    <mergeCell ref="I412:J412"/>
    <mergeCell ref="K412:L412"/>
    <mergeCell ref="B413:C413"/>
    <mergeCell ref="G413:H413"/>
    <mergeCell ref="I413:J413"/>
    <mergeCell ref="K413:L413"/>
    <mergeCell ref="B414:C414"/>
    <mergeCell ref="G414:H414"/>
    <mergeCell ref="I414:J414"/>
    <mergeCell ref="K414:L414"/>
    <mergeCell ref="B415:C415"/>
    <mergeCell ref="G415:H415"/>
    <mergeCell ref="I415:J415"/>
    <mergeCell ref="K415:L415"/>
    <mergeCell ref="B416:C416"/>
    <mergeCell ref="G416:H416"/>
    <mergeCell ref="I416:J416"/>
    <mergeCell ref="K416:L416"/>
    <mergeCell ref="B417:C417"/>
    <mergeCell ref="G417:H417"/>
    <mergeCell ref="I417:J417"/>
    <mergeCell ref="K417:L417"/>
    <mergeCell ref="B418:C418"/>
    <mergeCell ref="G418:H418"/>
    <mergeCell ref="I418:J418"/>
    <mergeCell ref="K418:L418"/>
    <mergeCell ref="B419:C419"/>
    <mergeCell ref="G419:H419"/>
    <mergeCell ref="I419:J419"/>
    <mergeCell ref="K419:L419"/>
    <mergeCell ref="B420:C420"/>
    <mergeCell ref="G420:H420"/>
    <mergeCell ref="I420:J420"/>
    <mergeCell ref="K420:L420"/>
    <mergeCell ref="B421:C421"/>
    <mergeCell ref="G421:H421"/>
    <mergeCell ref="I421:J421"/>
    <mergeCell ref="K421:L421"/>
    <mergeCell ref="B422:C422"/>
    <mergeCell ref="G422:H422"/>
    <mergeCell ref="I422:J422"/>
    <mergeCell ref="K422:L422"/>
    <mergeCell ref="B423:C423"/>
    <mergeCell ref="G423:H423"/>
    <mergeCell ref="I423:J423"/>
    <mergeCell ref="K423:L423"/>
    <mergeCell ref="B424:C424"/>
    <mergeCell ref="G424:H424"/>
    <mergeCell ref="I424:J424"/>
    <mergeCell ref="K424:L424"/>
    <mergeCell ref="B425:C425"/>
    <mergeCell ref="G425:H425"/>
    <mergeCell ref="I425:J425"/>
    <mergeCell ref="K425:L425"/>
    <mergeCell ref="B426:C426"/>
    <mergeCell ref="G426:H426"/>
    <mergeCell ref="I426:J426"/>
    <mergeCell ref="K426:L426"/>
    <mergeCell ref="B427:C427"/>
    <mergeCell ref="G427:H427"/>
    <mergeCell ref="I427:J427"/>
    <mergeCell ref="K427:L427"/>
    <mergeCell ref="B428:C428"/>
    <mergeCell ref="G428:H428"/>
    <mergeCell ref="I428:J428"/>
    <mergeCell ref="K428:L428"/>
    <mergeCell ref="B429:C429"/>
    <mergeCell ref="G429:H429"/>
    <mergeCell ref="I429:J429"/>
    <mergeCell ref="K429:L429"/>
    <mergeCell ref="B430:C430"/>
    <mergeCell ref="G430:H430"/>
    <mergeCell ref="I430:J430"/>
    <mergeCell ref="K430:L430"/>
    <mergeCell ref="B431:C431"/>
    <mergeCell ref="G431:H431"/>
    <mergeCell ref="I431:J431"/>
    <mergeCell ref="K431:L431"/>
    <mergeCell ref="B432:C432"/>
    <mergeCell ref="G432:H432"/>
    <mergeCell ref="I432:J432"/>
    <mergeCell ref="K432:L432"/>
    <mergeCell ref="B433:C433"/>
    <mergeCell ref="G433:H433"/>
    <mergeCell ref="I433:J433"/>
    <mergeCell ref="K433:L433"/>
    <mergeCell ref="B434:C434"/>
    <mergeCell ref="G434:H434"/>
    <mergeCell ref="I434:J434"/>
    <mergeCell ref="K434:L434"/>
    <mergeCell ref="B435:C435"/>
    <mergeCell ref="G435:H435"/>
    <mergeCell ref="I435:J435"/>
    <mergeCell ref="K435:L435"/>
    <mergeCell ref="B436:C436"/>
    <mergeCell ref="G436:H436"/>
    <mergeCell ref="I436:J436"/>
    <mergeCell ref="K436:L436"/>
    <mergeCell ref="B437:C437"/>
    <mergeCell ref="G437:H437"/>
    <mergeCell ref="I437:J437"/>
    <mergeCell ref="K437:L437"/>
    <mergeCell ref="B438:C438"/>
    <mergeCell ref="G438:H438"/>
    <mergeCell ref="I438:J438"/>
    <mergeCell ref="K438:L438"/>
    <mergeCell ref="B439:C439"/>
    <mergeCell ref="G439:H439"/>
    <mergeCell ref="I439:J439"/>
    <mergeCell ref="K439:L439"/>
    <mergeCell ref="B440:C440"/>
    <mergeCell ref="G440:H440"/>
    <mergeCell ref="I440:J440"/>
    <mergeCell ref="K440:L440"/>
    <mergeCell ref="B441:C441"/>
    <mergeCell ref="G441:H441"/>
    <mergeCell ref="I441:J441"/>
    <mergeCell ref="K441:L441"/>
    <mergeCell ref="B442:C442"/>
    <mergeCell ref="G442:H442"/>
    <mergeCell ref="I442:J442"/>
    <mergeCell ref="K442:L442"/>
    <mergeCell ref="B443:C443"/>
    <mergeCell ref="G443:H443"/>
    <mergeCell ref="I443:J443"/>
    <mergeCell ref="K443:L443"/>
    <mergeCell ref="B444:C444"/>
    <mergeCell ref="G444:H444"/>
    <mergeCell ref="I444:J444"/>
    <mergeCell ref="K444:L444"/>
    <mergeCell ref="B445:C445"/>
    <mergeCell ref="G445:H445"/>
    <mergeCell ref="I445:J445"/>
    <mergeCell ref="K445:L445"/>
    <mergeCell ref="B446:C446"/>
    <mergeCell ref="G446:H446"/>
    <mergeCell ref="I446:J446"/>
    <mergeCell ref="K446:L446"/>
    <mergeCell ref="B447:C447"/>
    <mergeCell ref="G447:H447"/>
    <mergeCell ref="I447:J447"/>
    <mergeCell ref="K447:L447"/>
    <mergeCell ref="B448:C448"/>
    <mergeCell ref="G448:H448"/>
    <mergeCell ref="I448:J448"/>
    <mergeCell ref="K448:L448"/>
    <mergeCell ref="B449:C449"/>
    <mergeCell ref="G449:H449"/>
    <mergeCell ref="I449:J449"/>
    <mergeCell ref="K449:L449"/>
    <mergeCell ref="B450:C450"/>
    <mergeCell ref="G450:H450"/>
    <mergeCell ref="I450:J450"/>
    <mergeCell ref="K450:L450"/>
    <mergeCell ref="B451:C451"/>
    <mergeCell ref="G451:H451"/>
    <mergeCell ref="I451:J451"/>
    <mergeCell ref="K451:L451"/>
    <mergeCell ref="B452:C452"/>
    <mergeCell ref="G452:H452"/>
    <mergeCell ref="I452:J452"/>
    <mergeCell ref="K452:L452"/>
    <mergeCell ref="B453:C453"/>
    <mergeCell ref="G453:H453"/>
    <mergeCell ref="I453:J453"/>
    <mergeCell ref="K453:L453"/>
    <mergeCell ref="B454:C454"/>
    <mergeCell ref="G454:H454"/>
    <mergeCell ref="I454:J454"/>
    <mergeCell ref="K454:L454"/>
    <mergeCell ref="B455:C455"/>
    <mergeCell ref="G455:H455"/>
    <mergeCell ref="I455:J455"/>
    <mergeCell ref="K455:L455"/>
    <mergeCell ref="B456:C456"/>
    <mergeCell ref="G456:H456"/>
    <mergeCell ref="I456:J456"/>
    <mergeCell ref="K456:L456"/>
    <mergeCell ref="B457:C457"/>
    <mergeCell ref="G457:H457"/>
    <mergeCell ref="I457:J457"/>
    <mergeCell ref="K457:L457"/>
    <mergeCell ref="B458:C458"/>
    <mergeCell ref="G458:H458"/>
    <mergeCell ref="I458:J458"/>
    <mergeCell ref="K458:L458"/>
    <mergeCell ref="B459:C459"/>
    <mergeCell ref="G459:H459"/>
    <mergeCell ref="I459:J459"/>
    <mergeCell ref="K459:L459"/>
    <mergeCell ref="B460:C460"/>
    <mergeCell ref="G460:H460"/>
    <mergeCell ref="I460:J460"/>
    <mergeCell ref="K460:L460"/>
    <mergeCell ref="B461:C461"/>
    <mergeCell ref="G461:H461"/>
    <mergeCell ref="I461:J461"/>
    <mergeCell ref="K461:L461"/>
    <mergeCell ref="B462:C462"/>
    <mergeCell ref="G462:H462"/>
    <mergeCell ref="I462:J462"/>
    <mergeCell ref="K462:L462"/>
    <mergeCell ref="B463:C463"/>
    <mergeCell ref="G463:H463"/>
    <mergeCell ref="I463:J463"/>
    <mergeCell ref="K463:L463"/>
    <mergeCell ref="B464:C464"/>
    <mergeCell ref="G464:H464"/>
    <mergeCell ref="I464:J464"/>
    <mergeCell ref="K464:L464"/>
    <mergeCell ref="B465:C465"/>
    <mergeCell ref="G465:H465"/>
    <mergeCell ref="I465:J465"/>
    <mergeCell ref="K465:L465"/>
    <mergeCell ref="B466:C466"/>
    <mergeCell ref="G466:H466"/>
    <mergeCell ref="I466:J466"/>
    <mergeCell ref="K466:L466"/>
    <mergeCell ref="B467:C467"/>
    <mergeCell ref="G467:H467"/>
    <mergeCell ref="I467:J467"/>
    <mergeCell ref="K467:L467"/>
    <mergeCell ref="B468:C468"/>
    <mergeCell ref="G468:H468"/>
    <mergeCell ref="I468:J468"/>
    <mergeCell ref="K468:L468"/>
    <mergeCell ref="B469:C469"/>
    <mergeCell ref="G469:H469"/>
    <mergeCell ref="I469:J469"/>
    <mergeCell ref="K469:L469"/>
    <mergeCell ref="B470:C470"/>
    <mergeCell ref="G470:H470"/>
    <mergeCell ref="I470:J470"/>
    <mergeCell ref="K470:L470"/>
    <mergeCell ref="B471:C471"/>
    <mergeCell ref="G471:H471"/>
    <mergeCell ref="I471:J471"/>
    <mergeCell ref="K471:L471"/>
    <mergeCell ref="B472:C472"/>
    <mergeCell ref="G472:H472"/>
    <mergeCell ref="I472:J472"/>
    <mergeCell ref="K472:L472"/>
    <mergeCell ref="B473:C473"/>
    <mergeCell ref="G473:H473"/>
    <mergeCell ref="I473:J473"/>
    <mergeCell ref="K473:L473"/>
    <mergeCell ref="B474:C474"/>
    <mergeCell ref="G474:H474"/>
    <mergeCell ref="I474:J474"/>
    <mergeCell ref="K474:L474"/>
    <mergeCell ref="B475:C475"/>
    <mergeCell ref="G475:H475"/>
    <mergeCell ref="I475:J475"/>
    <mergeCell ref="K475:L475"/>
    <mergeCell ref="B476:C476"/>
    <mergeCell ref="G476:H476"/>
    <mergeCell ref="I476:J476"/>
    <mergeCell ref="K476:L476"/>
    <mergeCell ref="B477:C477"/>
    <mergeCell ref="G477:H477"/>
    <mergeCell ref="I477:J477"/>
    <mergeCell ref="K477:L477"/>
    <mergeCell ref="B478:C478"/>
    <mergeCell ref="G478:H478"/>
    <mergeCell ref="I478:J478"/>
    <mergeCell ref="K478:L478"/>
    <mergeCell ref="B479:C479"/>
    <mergeCell ref="G479:H479"/>
    <mergeCell ref="I479:J479"/>
    <mergeCell ref="K479:L479"/>
    <mergeCell ref="B480:C480"/>
    <mergeCell ref="G480:H480"/>
    <mergeCell ref="I480:J480"/>
    <mergeCell ref="K480:L480"/>
    <mergeCell ref="B481:C481"/>
    <mergeCell ref="G481:H481"/>
    <mergeCell ref="I481:J481"/>
    <mergeCell ref="K481:L481"/>
    <mergeCell ref="B482:C482"/>
    <mergeCell ref="G482:H482"/>
    <mergeCell ref="I482:J482"/>
    <mergeCell ref="K482:L482"/>
    <mergeCell ref="B483:C483"/>
    <mergeCell ref="G483:H483"/>
    <mergeCell ref="I483:J483"/>
    <mergeCell ref="K483:L483"/>
    <mergeCell ref="B484:C484"/>
    <mergeCell ref="G484:H484"/>
    <mergeCell ref="I484:J484"/>
    <mergeCell ref="K484:L484"/>
    <mergeCell ref="B485:C485"/>
    <mergeCell ref="G485:H485"/>
    <mergeCell ref="I485:J485"/>
    <mergeCell ref="K485:L485"/>
    <mergeCell ref="B486:C486"/>
    <mergeCell ref="G486:H486"/>
    <mergeCell ref="I486:J486"/>
    <mergeCell ref="K486:L486"/>
    <mergeCell ref="B487:C487"/>
    <mergeCell ref="G487:H487"/>
    <mergeCell ref="I487:J487"/>
    <mergeCell ref="K487:L487"/>
    <mergeCell ref="B488:C488"/>
    <mergeCell ref="G488:H488"/>
    <mergeCell ref="I488:J488"/>
    <mergeCell ref="K488:L488"/>
    <mergeCell ref="B489:C489"/>
    <mergeCell ref="G489:H489"/>
    <mergeCell ref="I489:J489"/>
    <mergeCell ref="K489:L489"/>
    <mergeCell ref="B490:C490"/>
    <mergeCell ref="G490:H490"/>
    <mergeCell ref="I490:J490"/>
    <mergeCell ref="K490:L490"/>
    <mergeCell ref="B491:C491"/>
    <mergeCell ref="G491:H491"/>
    <mergeCell ref="I491:J491"/>
    <mergeCell ref="K491:L491"/>
    <mergeCell ref="B492:C492"/>
    <mergeCell ref="G492:H492"/>
    <mergeCell ref="I492:J492"/>
    <mergeCell ref="K492:L492"/>
    <mergeCell ref="B493:C493"/>
    <mergeCell ref="G493:H493"/>
    <mergeCell ref="I493:J493"/>
    <mergeCell ref="K493:L493"/>
    <mergeCell ref="B494:C494"/>
    <mergeCell ref="G494:H494"/>
    <mergeCell ref="I494:J494"/>
    <mergeCell ref="K494:L494"/>
    <mergeCell ref="B495:C495"/>
    <mergeCell ref="G495:H495"/>
    <mergeCell ref="I495:J495"/>
    <mergeCell ref="K495:L495"/>
    <mergeCell ref="B496:C496"/>
    <mergeCell ref="G496:H496"/>
    <mergeCell ref="I496:J496"/>
    <mergeCell ref="K496:L496"/>
    <mergeCell ref="B497:C497"/>
    <mergeCell ref="G497:H497"/>
    <mergeCell ref="I497:J497"/>
    <mergeCell ref="K497:L497"/>
    <mergeCell ref="B498:C498"/>
    <mergeCell ref="G498:H498"/>
    <mergeCell ref="I498:J498"/>
    <mergeCell ref="K498:L498"/>
    <mergeCell ref="B499:C499"/>
    <mergeCell ref="G499:H499"/>
    <mergeCell ref="I499:J499"/>
    <mergeCell ref="K499:L499"/>
    <mergeCell ref="B500:C500"/>
    <mergeCell ref="G500:H500"/>
    <mergeCell ref="I500:J500"/>
    <mergeCell ref="K500:L500"/>
    <mergeCell ref="B501:C501"/>
    <mergeCell ref="G501:H501"/>
    <mergeCell ref="I501:J501"/>
    <mergeCell ref="K501:L501"/>
    <mergeCell ref="B502:C502"/>
    <mergeCell ref="G502:H502"/>
    <mergeCell ref="I502:J502"/>
    <mergeCell ref="K502:L502"/>
    <mergeCell ref="B503:C503"/>
    <mergeCell ref="G503:H503"/>
    <mergeCell ref="I503:J503"/>
    <mergeCell ref="K503:L503"/>
    <mergeCell ref="B504:C504"/>
    <mergeCell ref="G504:H504"/>
    <mergeCell ref="I504:J504"/>
    <mergeCell ref="K504:L504"/>
    <mergeCell ref="B505:C505"/>
    <mergeCell ref="G505:H505"/>
    <mergeCell ref="I505:J505"/>
    <mergeCell ref="K505:L505"/>
    <mergeCell ref="B506:C506"/>
    <mergeCell ref="G506:H506"/>
    <mergeCell ref="I506:J506"/>
    <mergeCell ref="K506:L506"/>
    <mergeCell ref="B507:C507"/>
    <mergeCell ref="G507:H507"/>
    <mergeCell ref="I507:J507"/>
    <mergeCell ref="K507:L507"/>
    <mergeCell ref="B508:C508"/>
    <mergeCell ref="G508:H508"/>
    <mergeCell ref="I508:J508"/>
    <mergeCell ref="K508:L508"/>
    <mergeCell ref="B509:C509"/>
    <mergeCell ref="G509:H509"/>
    <mergeCell ref="I509:J509"/>
    <mergeCell ref="K509:L509"/>
    <mergeCell ref="B510:C510"/>
    <mergeCell ref="G510:H510"/>
    <mergeCell ref="I510:J510"/>
    <mergeCell ref="K510:L510"/>
    <mergeCell ref="B511:C511"/>
    <mergeCell ref="G511:H511"/>
    <mergeCell ref="I511:J511"/>
    <mergeCell ref="K511:L511"/>
    <mergeCell ref="B512:C512"/>
    <mergeCell ref="G512:H512"/>
    <mergeCell ref="I512:J512"/>
    <mergeCell ref="K512:L512"/>
    <mergeCell ref="B513:C513"/>
    <mergeCell ref="G513:H513"/>
    <mergeCell ref="I513:J513"/>
    <mergeCell ref="K513:L513"/>
    <mergeCell ref="B514:C514"/>
    <mergeCell ref="G514:H514"/>
    <mergeCell ref="I514:J514"/>
    <mergeCell ref="K514:L514"/>
    <mergeCell ref="B515:C515"/>
    <mergeCell ref="G515:H515"/>
    <mergeCell ref="I515:J515"/>
    <mergeCell ref="K515:L515"/>
    <mergeCell ref="B516:C516"/>
    <mergeCell ref="G516:H516"/>
    <mergeCell ref="I516:J516"/>
    <mergeCell ref="K516:L516"/>
    <mergeCell ref="B517:C517"/>
    <mergeCell ref="G517:H517"/>
    <mergeCell ref="I517:J517"/>
    <mergeCell ref="K517:L517"/>
    <mergeCell ref="B518:C518"/>
    <mergeCell ref="G518:H518"/>
    <mergeCell ref="I518:J518"/>
    <mergeCell ref="K518:L518"/>
    <mergeCell ref="B519:C519"/>
    <mergeCell ref="G519:H519"/>
    <mergeCell ref="I519:J519"/>
    <mergeCell ref="K519:L519"/>
    <mergeCell ref="B520:C520"/>
    <mergeCell ref="G520:H520"/>
    <mergeCell ref="I520:J520"/>
    <mergeCell ref="K520:L520"/>
    <mergeCell ref="B521:C521"/>
    <mergeCell ref="G521:H521"/>
    <mergeCell ref="I521:J521"/>
    <mergeCell ref="K521:L521"/>
    <mergeCell ref="B522:C522"/>
    <mergeCell ref="G522:H522"/>
    <mergeCell ref="I522:J522"/>
    <mergeCell ref="K522:L522"/>
    <mergeCell ref="B523:C523"/>
    <mergeCell ref="G523:H523"/>
    <mergeCell ref="I523:J523"/>
    <mergeCell ref="K523:L523"/>
    <mergeCell ref="B524:C524"/>
    <mergeCell ref="G524:H524"/>
    <mergeCell ref="I524:J524"/>
    <mergeCell ref="K524:L524"/>
    <mergeCell ref="B525:C525"/>
    <mergeCell ref="G525:H525"/>
    <mergeCell ref="I525:J525"/>
    <mergeCell ref="K525:L525"/>
    <mergeCell ref="B526:C526"/>
    <mergeCell ref="G526:H526"/>
    <mergeCell ref="I526:J526"/>
    <mergeCell ref="K526:L526"/>
    <mergeCell ref="B527:C527"/>
    <mergeCell ref="G527:H527"/>
    <mergeCell ref="I527:J527"/>
    <mergeCell ref="K527:L527"/>
    <mergeCell ref="B528:C528"/>
    <mergeCell ref="G528:H528"/>
    <mergeCell ref="I528:J528"/>
    <mergeCell ref="K528:L528"/>
    <mergeCell ref="B529:C529"/>
    <mergeCell ref="G529:H529"/>
    <mergeCell ref="I529:J529"/>
    <mergeCell ref="K529:L529"/>
    <mergeCell ref="B530:C530"/>
    <mergeCell ref="G530:H530"/>
    <mergeCell ref="I530:J530"/>
    <mergeCell ref="K530:L530"/>
    <mergeCell ref="B531:C531"/>
    <mergeCell ref="G531:H531"/>
    <mergeCell ref="I531:J531"/>
    <mergeCell ref="K531:L531"/>
    <mergeCell ref="B532:C532"/>
    <mergeCell ref="G532:H532"/>
    <mergeCell ref="I532:J532"/>
    <mergeCell ref="K532:L532"/>
    <mergeCell ref="B533:C533"/>
    <mergeCell ref="G533:H533"/>
    <mergeCell ref="I533:J533"/>
    <mergeCell ref="K533:L533"/>
    <mergeCell ref="B534:C534"/>
    <mergeCell ref="G534:H534"/>
    <mergeCell ref="I534:J534"/>
    <mergeCell ref="K534:L534"/>
    <mergeCell ref="B535:C535"/>
    <mergeCell ref="G535:H535"/>
    <mergeCell ref="I535:J535"/>
    <mergeCell ref="K535:L535"/>
    <mergeCell ref="G536:H536"/>
    <mergeCell ref="I536:J536"/>
    <mergeCell ref="K536:L536"/>
    <mergeCell ref="G537:H537"/>
    <mergeCell ref="I537:J537"/>
    <mergeCell ref="K537:L537"/>
    <mergeCell ref="A18:A19"/>
    <mergeCell ref="C3:C4"/>
    <mergeCell ref="D3:D4"/>
    <mergeCell ref="F18:F19"/>
    <mergeCell ref="I3:I4"/>
    <mergeCell ref="J3:J4"/>
    <mergeCell ref="A6:B7"/>
    <mergeCell ref="C6:D7"/>
    <mergeCell ref="G6:H7"/>
    <mergeCell ref="I6:J7"/>
    <mergeCell ref="A3:B4"/>
    <mergeCell ref="E3:F4"/>
    <mergeCell ref="G3:H4"/>
    <mergeCell ref="K3:L4"/>
    <mergeCell ref="A9:L10"/>
    <mergeCell ref="A11:L14"/>
    <mergeCell ref="G18:H19"/>
    <mergeCell ref="I18:J19"/>
    <mergeCell ref="K18:L19"/>
    <mergeCell ref="B18:C19"/>
    <mergeCell ref="A536:E537"/>
    <mergeCell ref="D532:E535"/>
  </mergeCells>
  <hyperlinks>
    <hyperlink ref="A1" location="Catalogue!A1" display="Back"/>
    <hyperlink ref="A1:L1" location="目录!A1" display="Back"/>
  </hyperlink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3"/>
  <sheetViews>
    <sheetView workbookViewId="0">
      <selection activeCell="A1" sqref="A1:G1"/>
    </sheetView>
  </sheetViews>
  <sheetFormatPr defaultColWidth="9" defaultRowHeight="14.25"/>
  <cols>
    <col min="1" max="1" width="15.75" style="319" customWidth="1"/>
    <col min="2" max="2" width="22.375" style="319" customWidth="1"/>
    <col min="3" max="3" width="9.75" style="318" customWidth="1"/>
    <col min="4" max="4" width="9" style="319"/>
    <col min="5" max="5" width="16.75" style="318" customWidth="1"/>
    <col min="6" max="6" width="12.625" style="318" customWidth="1"/>
    <col min="7" max="16384" width="9" style="319"/>
  </cols>
  <sheetData>
    <row r="1" ht="15.75" spans="1:7">
      <c r="A1" s="3" t="s">
        <v>880</v>
      </c>
      <c r="B1" s="3"/>
      <c r="C1" s="3"/>
      <c r="D1" s="3"/>
      <c r="E1" s="3"/>
      <c r="F1" s="3"/>
      <c r="G1" s="3"/>
    </row>
    <row r="2" ht="56.1" customHeight="1" spans="1:7">
      <c r="A2" s="320" t="str">
        <f>IF(目录!G2="中文",对照!AR2,IF(目录!G2="English",对照!AS2,对照!AR2))</f>
        <v>压力损失报告
Pressure Loss Report</v>
      </c>
      <c r="B2" s="320"/>
      <c r="C2" s="320"/>
      <c r="D2" s="320"/>
      <c r="E2" s="320"/>
      <c r="F2" s="320"/>
      <c r="G2" s="320"/>
    </row>
    <row r="3" ht="15.95" customHeight="1" spans="1:7">
      <c r="A3" s="321" t="str">
        <f>IF(目录!G2="中文",对照!AR3,IF(目录!G2="English",对照!AS3,对照!AR3))</f>
        <v>流经位置
Flow analysis</v>
      </c>
      <c r="B3" s="322" t="str">
        <f>IF(目录!G2="中文",对照!AR4,IF(目录!G2="English",对照!AS4,对照!AR4))</f>
        <v>实际注射压力
Actual Injection Pressure</v>
      </c>
      <c r="C3" s="322" t="str">
        <f>IF(目录!G2="中文",对照!AR5,IF(目录!G2="English",对照!AS5,对照!AR5))</f>
        <v>单位
Unit</v>
      </c>
      <c r="D3" s="323"/>
      <c r="E3" s="324" t="s">
        <v>1742</v>
      </c>
      <c r="F3" s="324"/>
      <c r="G3" s="325"/>
    </row>
    <row r="4" ht="15.95" customHeight="1" spans="1:7">
      <c r="A4" s="326"/>
      <c r="B4" s="327"/>
      <c r="C4" s="327"/>
      <c r="D4" s="328"/>
      <c r="E4" s="329"/>
      <c r="F4" s="329"/>
      <c r="G4" s="330"/>
    </row>
    <row r="5" s="317" customFormat="1" ht="32.1" customHeight="1" spans="1:7">
      <c r="A5" s="331"/>
      <c r="B5" s="332"/>
      <c r="C5" s="333"/>
      <c r="D5" s="334"/>
      <c r="E5" s="335" t="s">
        <v>1743</v>
      </c>
      <c r="F5" s="336" t="s">
        <v>1744</v>
      </c>
      <c r="G5" s="337" t="s">
        <v>174</v>
      </c>
    </row>
    <row r="6" ht="24" customHeight="1" spans="1:7">
      <c r="A6" s="338"/>
      <c r="B6" s="339"/>
      <c r="C6" s="340"/>
      <c r="D6" s="334"/>
      <c r="E6" s="341"/>
      <c r="F6" s="342"/>
      <c r="G6" s="343"/>
    </row>
    <row r="7" ht="24" customHeight="1" spans="1:7">
      <c r="A7" s="338"/>
      <c r="B7" s="339"/>
      <c r="C7" s="340"/>
      <c r="D7" s="334"/>
      <c r="E7" s="344"/>
      <c r="F7" s="339"/>
      <c r="G7" s="345"/>
    </row>
    <row r="8" ht="24" customHeight="1" spans="1:7">
      <c r="A8" s="346"/>
      <c r="B8" s="339"/>
      <c r="C8" s="340"/>
      <c r="D8" s="334"/>
      <c r="E8" s="344"/>
      <c r="F8" s="339"/>
      <c r="G8" s="345"/>
    </row>
    <row r="9" ht="24" customHeight="1" spans="1:7">
      <c r="A9" s="346"/>
      <c r="B9" s="347"/>
      <c r="C9" s="340"/>
      <c r="D9" s="334"/>
      <c r="E9" s="344"/>
      <c r="F9" s="339"/>
      <c r="G9" s="348"/>
    </row>
    <row r="10" ht="24" customHeight="1" spans="1:7">
      <c r="A10" s="346"/>
      <c r="B10" s="347"/>
      <c r="C10" s="340"/>
      <c r="D10" s="334"/>
      <c r="E10" s="344"/>
      <c r="F10" s="339"/>
      <c r="G10" s="345"/>
    </row>
    <row r="11" ht="24" customHeight="1" spans="1:7">
      <c r="A11" s="346"/>
      <c r="B11" s="347"/>
      <c r="C11" s="340"/>
      <c r="D11" s="334"/>
      <c r="E11" s="344"/>
      <c r="F11" s="339"/>
      <c r="G11" s="348"/>
    </row>
    <row r="12" ht="24" customHeight="1" spans="1:10">
      <c r="A12" s="346"/>
      <c r="B12" s="347"/>
      <c r="C12" s="340"/>
      <c r="D12" s="334"/>
      <c r="E12" s="344"/>
      <c r="F12" s="339"/>
      <c r="G12" s="345"/>
      <c r="H12" s="349"/>
      <c r="I12" s="350"/>
      <c r="J12" s="350"/>
    </row>
    <row r="13" ht="24" customHeight="1" spans="1:10">
      <c r="A13" s="346"/>
      <c r="B13" s="347"/>
      <c r="C13" s="340"/>
      <c r="D13" s="334"/>
      <c r="E13" s="344"/>
      <c r="F13" s="339"/>
      <c r="G13" s="348"/>
      <c r="H13" s="350"/>
      <c r="I13" s="350"/>
      <c r="J13" s="350"/>
    </row>
    <row r="14" ht="24" customHeight="1" spans="1:10">
      <c r="A14" s="346"/>
      <c r="B14" s="351"/>
      <c r="C14" s="340"/>
      <c r="D14" s="334"/>
      <c r="E14" s="344"/>
      <c r="F14" s="339"/>
      <c r="G14" s="345"/>
      <c r="H14" s="350"/>
      <c r="I14" s="350"/>
      <c r="J14" s="350"/>
    </row>
    <row r="15" ht="24" customHeight="1" spans="1:10">
      <c r="A15" s="346"/>
      <c r="B15" s="351"/>
      <c r="C15" s="340"/>
      <c r="D15" s="334"/>
      <c r="E15" s="344"/>
      <c r="F15" s="339"/>
      <c r="G15" s="348"/>
      <c r="H15" s="350"/>
      <c r="I15" s="350"/>
      <c r="J15" s="350"/>
    </row>
    <row r="16" ht="24" customHeight="1" spans="1:10">
      <c r="A16" s="346"/>
      <c r="B16" s="351"/>
      <c r="C16" s="340"/>
      <c r="D16" s="334"/>
      <c r="E16" s="344"/>
      <c r="F16" s="339"/>
      <c r="G16" s="345"/>
      <c r="H16" s="350"/>
      <c r="I16" s="350"/>
      <c r="J16" s="350"/>
    </row>
    <row r="17" ht="24" customHeight="1" spans="1:10">
      <c r="A17" s="346"/>
      <c r="B17" s="351"/>
      <c r="C17" s="340"/>
      <c r="D17" s="334"/>
      <c r="E17" s="344"/>
      <c r="F17" s="339"/>
      <c r="G17" s="348"/>
      <c r="H17" s="350"/>
      <c r="I17" s="350"/>
      <c r="J17" s="350"/>
    </row>
    <row r="18" ht="24" customHeight="1" spans="1:10">
      <c r="A18" s="346"/>
      <c r="B18" s="351"/>
      <c r="C18" s="340"/>
      <c r="D18" s="334"/>
      <c r="E18" s="344"/>
      <c r="F18" s="339"/>
      <c r="G18" s="345"/>
      <c r="H18" s="350"/>
      <c r="I18" s="350"/>
      <c r="J18" s="350"/>
    </row>
    <row r="19" ht="24" customHeight="1" spans="1:10">
      <c r="A19" s="346"/>
      <c r="B19" s="351"/>
      <c r="C19" s="340"/>
      <c r="D19" s="334"/>
      <c r="E19" s="344"/>
      <c r="F19" s="339"/>
      <c r="G19" s="348"/>
      <c r="H19" s="350"/>
      <c r="I19" s="350"/>
      <c r="J19" s="350"/>
    </row>
    <row r="20" ht="24" customHeight="1" spans="1:10">
      <c r="A20" s="346"/>
      <c r="B20" s="351"/>
      <c r="C20" s="340"/>
      <c r="D20" s="334"/>
      <c r="E20" s="344"/>
      <c r="F20" s="339"/>
      <c r="G20" s="345"/>
      <c r="H20" s="350"/>
      <c r="I20" s="350"/>
      <c r="J20" s="350"/>
    </row>
    <row r="21" ht="24" customHeight="1" spans="1:10">
      <c r="A21" s="346"/>
      <c r="B21" s="339"/>
      <c r="C21" s="340"/>
      <c r="D21" s="334"/>
      <c r="E21" s="344"/>
      <c r="F21" s="339"/>
      <c r="G21" s="348"/>
      <c r="H21" s="350"/>
      <c r="I21" s="350"/>
      <c r="J21" s="350"/>
    </row>
    <row r="22" ht="24" customHeight="1" spans="1:7">
      <c r="A22" s="352"/>
      <c r="B22" s="353"/>
      <c r="C22" s="354"/>
      <c r="D22" s="355"/>
      <c r="E22" s="356"/>
      <c r="F22" s="353"/>
      <c r="G22" s="357"/>
    </row>
    <row r="23" ht="15.95" customHeight="1" spans="1:3">
      <c r="A23" s="350"/>
      <c r="B23" s="350"/>
      <c r="C23" s="358"/>
    </row>
    <row r="24" ht="15.95" customHeight="1" spans="1:7">
      <c r="A24" s="350"/>
      <c r="B24" s="350"/>
      <c r="C24" s="350"/>
      <c r="D24" s="350"/>
      <c r="E24" s="350"/>
      <c r="F24" s="350"/>
      <c r="G24" s="350"/>
    </row>
    <row r="25" ht="15.95" customHeight="1" spans="1:7">
      <c r="A25" s="350"/>
      <c r="B25" s="350"/>
      <c r="C25" s="350"/>
      <c r="D25" s="350"/>
      <c r="E25" s="350"/>
      <c r="F25" s="350"/>
      <c r="G25" s="350"/>
    </row>
    <row r="26" ht="15.95" customHeight="1" spans="1:7">
      <c r="A26" s="350"/>
      <c r="B26" s="350"/>
      <c r="C26" s="350"/>
      <c r="D26" s="350"/>
      <c r="E26" s="350"/>
      <c r="F26" s="350"/>
      <c r="G26" s="350"/>
    </row>
    <row r="27" ht="15.95" customHeight="1" spans="1:7">
      <c r="A27" s="350"/>
      <c r="B27" s="350"/>
      <c r="C27" s="350"/>
      <c r="D27" s="350"/>
      <c r="E27" s="350"/>
      <c r="F27" s="350"/>
      <c r="G27" s="350"/>
    </row>
    <row r="28" ht="15.95" customHeight="1" spans="1:7">
      <c r="A28" s="350"/>
      <c r="B28" s="350"/>
      <c r="C28" s="350"/>
      <c r="D28" s="350"/>
      <c r="E28" s="350"/>
      <c r="F28" s="350"/>
      <c r="G28" s="350"/>
    </row>
    <row r="29" ht="15.95" customHeight="1" spans="1:7">
      <c r="A29" s="350"/>
      <c r="B29" s="350"/>
      <c r="C29" s="350"/>
      <c r="D29" s="350"/>
      <c r="E29" s="350"/>
      <c r="F29" s="350"/>
      <c r="G29" s="350"/>
    </row>
    <row r="30" ht="15.95" customHeight="1" spans="1:7">
      <c r="A30" s="350"/>
      <c r="B30" s="350"/>
      <c r="C30" s="350"/>
      <c r="D30" s="350"/>
      <c r="E30" s="350"/>
      <c r="F30" s="350"/>
      <c r="G30" s="350"/>
    </row>
    <row r="31" ht="15.95" customHeight="1" spans="1:7">
      <c r="A31" s="350"/>
      <c r="B31" s="350"/>
      <c r="C31" s="350"/>
      <c r="D31" s="350"/>
      <c r="E31" s="350"/>
      <c r="F31" s="350"/>
      <c r="G31" s="350"/>
    </row>
    <row r="32" ht="15.95" customHeight="1" spans="1:7">
      <c r="A32" s="350"/>
      <c r="B32" s="350"/>
      <c r="C32" s="350"/>
      <c r="D32" s="350"/>
      <c r="E32" s="350"/>
      <c r="F32" s="350"/>
      <c r="G32" s="350"/>
    </row>
    <row r="33" ht="15.95" customHeight="1" spans="1:7">
      <c r="A33" s="350"/>
      <c r="B33" s="350"/>
      <c r="C33" s="350"/>
      <c r="D33" s="350"/>
      <c r="E33" s="350"/>
      <c r="F33" s="350"/>
      <c r="G33" s="350"/>
    </row>
    <row r="34" ht="15.95" customHeight="1" spans="1:7">
      <c r="A34" s="350"/>
      <c r="B34" s="350"/>
      <c r="C34" s="350"/>
      <c r="D34" s="350"/>
      <c r="E34" s="350"/>
      <c r="F34" s="350"/>
      <c r="G34" s="350"/>
    </row>
    <row r="35" ht="15.95" customHeight="1" spans="1:7">
      <c r="A35" s="350"/>
      <c r="B35" s="350"/>
      <c r="C35" s="350"/>
      <c r="D35" s="350"/>
      <c r="E35" s="350"/>
      <c r="F35" s="350"/>
      <c r="G35" s="350"/>
    </row>
    <row r="36" ht="15.95" customHeight="1" spans="1:7">
      <c r="A36" s="350"/>
      <c r="B36" s="350"/>
      <c r="C36" s="350"/>
      <c r="D36" s="350"/>
      <c r="E36" s="350"/>
      <c r="F36" s="350"/>
      <c r="G36" s="350"/>
    </row>
    <row r="37" ht="15.95" customHeight="1" spans="1:7">
      <c r="A37" s="350"/>
      <c r="B37" s="350"/>
      <c r="C37" s="350"/>
      <c r="D37" s="350"/>
      <c r="E37" s="350"/>
      <c r="F37" s="350"/>
      <c r="G37" s="350"/>
    </row>
    <row r="38" ht="15.95" customHeight="1" spans="1:7">
      <c r="A38" s="350"/>
      <c r="B38" s="350"/>
      <c r="C38" s="350"/>
      <c r="D38" s="350"/>
      <c r="E38" s="350"/>
      <c r="F38" s="350"/>
      <c r="G38" s="350"/>
    </row>
    <row r="39" ht="15.95" customHeight="1" spans="1:7">
      <c r="A39" s="350"/>
      <c r="B39" s="350"/>
      <c r="C39" s="350"/>
      <c r="D39" s="350"/>
      <c r="E39" s="350"/>
      <c r="F39" s="350"/>
      <c r="G39" s="350"/>
    </row>
    <row r="40" ht="15.95" customHeight="1" spans="1:7">
      <c r="A40" s="350"/>
      <c r="B40" s="350"/>
      <c r="C40" s="350"/>
      <c r="D40" s="350"/>
      <c r="E40" s="350"/>
      <c r="F40" s="350"/>
      <c r="G40" s="350"/>
    </row>
    <row r="41" ht="15.95" customHeight="1" spans="1:7">
      <c r="A41" s="350"/>
      <c r="B41" s="350"/>
      <c r="C41" s="350"/>
      <c r="D41" s="350"/>
      <c r="E41" s="350"/>
      <c r="F41" s="350"/>
      <c r="G41" s="350"/>
    </row>
    <row r="42" ht="15.95" customHeight="1" spans="1:3">
      <c r="A42" s="350"/>
      <c r="B42" s="350"/>
      <c r="C42" s="358"/>
    </row>
    <row r="43" s="318" customFormat="1" ht="15.95" customHeight="1" spans="1:15">
      <c r="A43" s="359" t="s">
        <v>1729</v>
      </c>
      <c r="B43" s="359"/>
      <c r="C43" s="359"/>
      <c r="D43" s="359"/>
      <c r="E43" s="359"/>
      <c r="F43" s="359"/>
      <c r="G43" s="359"/>
      <c r="H43" s="360"/>
      <c r="I43" s="360"/>
      <c r="J43" s="360"/>
      <c r="K43" s="360"/>
      <c r="L43" s="360"/>
      <c r="M43" s="360"/>
      <c r="N43" s="360"/>
      <c r="O43" s="360"/>
    </row>
    <row r="44" s="318" customFormat="1" ht="15.95" customHeight="1" spans="1:15">
      <c r="A44" s="361"/>
      <c r="B44" s="361"/>
      <c r="C44" s="361"/>
      <c r="D44" s="361"/>
      <c r="E44" s="361"/>
      <c r="F44" s="361"/>
      <c r="G44" s="361"/>
      <c r="H44" s="362"/>
      <c r="I44" s="362"/>
      <c r="J44" s="362"/>
      <c r="K44" s="362"/>
      <c r="L44" s="362"/>
      <c r="M44" s="362"/>
      <c r="N44" s="362"/>
      <c r="O44" s="362"/>
    </row>
    <row r="45" s="318" customFormat="1" ht="15.95" customHeight="1" spans="1:16">
      <c r="A45" s="363"/>
      <c r="B45" s="364"/>
      <c r="C45" s="364"/>
      <c r="D45" s="364"/>
      <c r="E45" s="364"/>
      <c r="F45" s="364"/>
      <c r="G45" s="365"/>
      <c r="H45" s="350"/>
      <c r="I45" s="350"/>
      <c r="J45" s="350"/>
      <c r="K45" s="350"/>
      <c r="L45" s="350"/>
      <c r="M45" s="350"/>
      <c r="N45" s="350"/>
      <c r="O45" s="350"/>
      <c r="P45" s="350"/>
    </row>
    <row r="46" s="318" customFormat="1" ht="15.95" customHeight="1" spans="1:16">
      <c r="A46" s="366"/>
      <c r="B46" s="367"/>
      <c r="C46" s="367"/>
      <c r="D46" s="367"/>
      <c r="E46" s="367"/>
      <c r="F46" s="367"/>
      <c r="G46" s="368"/>
      <c r="H46" s="350"/>
      <c r="I46" s="350"/>
      <c r="J46" s="350"/>
      <c r="K46" s="350"/>
      <c r="L46" s="350"/>
      <c r="M46" s="350"/>
      <c r="N46" s="350"/>
      <c r="O46" s="350"/>
      <c r="P46" s="350"/>
    </row>
    <row r="47" s="318" customFormat="1" ht="15.95" customHeight="1" spans="1:16">
      <c r="A47" s="366"/>
      <c r="B47" s="367"/>
      <c r="C47" s="367"/>
      <c r="D47" s="367"/>
      <c r="E47" s="367"/>
      <c r="F47" s="367"/>
      <c r="G47" s="368"/>
      <c r="H47" s="350"/>
      <c r="I47" s="350"/>
      <c r="J47" s="350"/>
      <c r="K47" s="350"/>
      <c r="L47" s="350"/>
      <c r="M47" s="350"/>
      <c r="N47" s="350"/>
      <c r="O47" s="350"/>
      <c r="P47" s="350"/>
    </row>
    <row r="48" s="318" customFormat="1" ht="15.95" customHeight="1" spans="1:16">
      <c r="A48" s="366"/>
      <c r="B48" s="367"/>
      <c r="C48" s="367"/>
      <c r="D48" s="367"/>
      <c r="E48" s="367"/>
      <c r="F48" s="367"/>
      <c r="G48" s="368"/>
      <c r="H48" s="350"/>
      <c r="I48" s="350"/>
      <c r="J48" s="350"/>
      <c r="K48" s="350"/>
      <c r="L48" s="350"/>
      <c r="M48" s="350"/>
      <c r="N48" s="350"/>
      <c r="O48" s="350"/>
      <c r="P48" s="350"/>
    </row>
    <row r="49" s="318" customFormat="1" ht="15.95" customHeight="1" spans="1:16">
      <c r="A49" s="366"/>
      <c r="B49" s="367"/>
      <c r="C49" s="367"/>
      <c r="D49" s="367"/>
      <c r="E49" s="367"/>
      <c r="F49" s="367"/>
      <c r="G49" s="368"/>
      <c r="H49" s="350"/>
      <c r="I49" s="350"/>
      <c r="J49" s="350"/>
      <c r="K49" s="350"/>
      <c r="L49" s="350"/>
      <c r="M49" s="350"/>
      <c r="N49" s="350"/>
      <c r="O49" s="350"/>
      <c r="P49" s="350"/>
    </row>
    <row r="50" s="318" customFormat="1" ht="15.95" customHeight="1" spans="1:16">
      <c r="A50" s="366"/>
      <c r="B50" s="367"/>
      <c r="C50" s="367"/>
      <c r="D50" s="367"/>
      <c r="E50" s="367"/>
      <c r="F50" s="367"/>
      <c r="G50" s="368"/>
      <c r="H50" s="350"/>
      <c r="I50" s="350"/>
      <c r="J50" s="350"/>
      <c r="K50" s="350"/>
      <c r="L50" s="350"/>
      <c r="M50" s="350"/>
      <c r="N50" s="350"/>
      <c r="O50" s="350"/>
      <c r="P50" s="350"/>
    </row>
    <row r="51" s="318" customFormat="1" ht="15.95" customHeight="1" spans="1:16">
      <c r="A51" s="366"/>
      <c r="B51" s="367"/>
      <c r="C51" s="367"/>
      <c r="D51" s="367"/>
      <c r="E51" s="367"/>
      <c r="F51" s="367"/>
      <c r="G51" s="368"/>
      <c r="H51" s="350"/>
      <c r="I51" s="350"/>
      <c r="J51" s="350"/>
      <c r="K51" s="350"/>
      <c r="L51" s="350"/>
      <c r="M51" s="350"/>
      <c r="N51" s="350"/>
      <c r="O51" s="350"/>
      <c r="P51" s="350"/>
    </row>
    <row r="52" s="318" customFormat="1" ht="15.95" customHeight="1" spans="1:16">
      <c r="A52" s="369"/>
      <c r="B52" s="370"/>
      <c r="C52" s="370"/>
      <c r="D52" s="370"/>
      <c r="E52" s="370"/>
      <c r="F52" s="370"/>
      <c r="G52" s="371"/>
      <c r="H52" s="350"/>
      <c r="I52" s="350"/>
      <c r="J52" s="350"/>
      <c r="K52" s="350"/>
      <c r="L52" s="350"/>
      <c r="M52" s="350"/>
      <c r="N52" s="350"/>
      <c r="O52" s="350"/>
      <c r="P52" s="350"/>
    </row>
    <row r="53" ht="16.5" spans="1:8">
      <c r="A53" s="372"/>
      <c r="B53" s="372"/>
      <c r="C53" s="372"/>
      <c r="D53" s="372"/>
      <c r="E53" s="373"/>
      <c r="F53" s="373"/>
      <c r="G53" s="374" t="s">
        <v>1745</v>
      </c>
      <c r="H53" s="375"/>
    </row>
  </sheetData>
  <mergeCells count="8">
    <mergeCell ref="A1:G1"/>
    <mergeCell ref="A2:G2"/>
    <mergeCell ref="A3:A4"/>
    <mergeCell ref="B3:B4"/>
    <mergeCell ref="C3:C4"/>
    <mergeCell ref="E3:G4"/>
    <mergeCell ref="A45:G52"/>
    <mergeCell ref="A43:G44"/>
  </mergeCells>
  <hyperlinks>
    <hyperlink ref="A1" location="Catalogue!A1" display="Back"/>
    <hyperlink ref="A1:G1" location="目录!A1" display="Back"/>
  </hyperlinks>
  <pageMargins left="0.7" right="0.7" top="0.75" bottom="0.75" header="0.3" footer="0.3"/>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53"/>
  <sheetViews>
    <sheetView zoomScale="85" zoomScaleNormal="85" workbookViewId="0">
      <selection activeCell="A1" sqref="A1:Q1"/>
    </sheetView>
  </sheetViews>
  <sheetFormatPr defaultColWidth="10" defaultRowHeight="12.75"/>
  <cols>
    <col min="1" max="1" width="4.625" style="243" customWidth="1"/>
    <col min="2" max="2" width="5.625" style="243" customWidth="1"/>
    <col min="3" max="4" width="4.5" style="243" customWidth="1"/>
    <col min="5" max="5" width="4.375" style="243" customWidth="1"/>
    <col min="6" max="6" width="4.5" style="243" customWidth="1"/>
    <col min="7" max="7" width="8.5" style="243" customWidth="1"/>
    <col min="8" max="8" width="6.5" style="243" customWidth="1"/>
    <col min="9" max="9" width="8.5" style="243" customWidth="1"/>
    <col min="10" max="10" width="3.5" style="243" customWidth="1"/>
    <col min="11" max="11" width="3.125" style="243" customWidth="1"/>
    <col min="12" max="12" width="3.875" style="243" customWidth="1"/>
    <col min="13" max="13" width="4.125" style="243" customWidth="1"/>
    <col min="14" max="14" width="4.375" style="243" customWidth="1"/>
    <col min="15" max="15" width="16.625" style="243" customWidth="1"/>
    <col min="16" max="16" width="9.25" style="243" customWidth="1"/>
    <col min="17" max="17" width="4.375" style="243" customWidth="1"/>
    <col min="18" max="18" width="10.5" style="243" customWidth="1"/>
    <col min="19" max="19" width="3.375" style="243" customWidth="1"/>
    <col min="20" max="49" width="3.125" style="243" customWidth="1"/>
    <col min="50" max="16384" width="10" style="243"/>
  </cols>
  <sheetData>
    <row r="1" ht="15.75" spans="1:17">
      <c r="A1" s="3" t="s">
        <v>880</v>
      </c>
      <c r="B1" s="3"/>
      <c r="C1" s="3"/>
      <c r="D1" s="3"/>
      <c r="E1" s="3"/>
      <c r="F1" s="3"/>
      <c r="G1" s="3"/>
      <c r="H1" s="3"/>
      <c r="I1" s="3"/>
      <c r="J1" s="3"/>
      <c r="K1" s="3"/>
      <c r="L1" s="3"/>
      <c r="M1" s="3"/>
      <c r="N1" s="3"/>
      <c r="O1" s="3"/>
      <c r="P1" s="3"/>
      <c r="Q1" s="3"/>
    </row>
    <row r="2" ht="56.1" customHeight="1" spans="1:23">
      <c r="A2" s="244" t="str">
        <f>IF(目录!G2="中文",对照!AU2,IF(目录!G2="English",对照!AV2,对照!AU2))</f>
        <v>保压压力测试报告
Holding Pressure Test Report</v>
      </c>
      <c r="B2" s="244"/>
      <c r="C2" s="244"/>
      <c r="D2" s="244"/>
      <c r="E2" s="244"/>
      <c r="F2" s="244"/>
      <c r="G2" s="244"/>
      <c r="H2" s="244"/>
      <c r="I2" s="244"/>
      <c r="J2" s="244"/>
      <c r="K2" s="244"/>
      <c r="L2" s="244"/>
      <c r="M2" s="244"/>
      <c r="N2" s="244"/>
      <c r="O2" s="244"/>
      <c r="P2" s="244"/>
      <c r="Q2" s="244"/>
      <c r="T2" s="289"/>
      <c r="W2" s="289"/>
    </row>
    <row r="3" ht="15.95" customHeight="1" spans="1:19">
      <c r="A3" s="245" t="str">
        <f>IF(目录!G2="中文",对照!AU3,IF(目录!G2="English",对照!AV3,对照!AU3))</f>
        <v>优化操作者
Operator</v>
      </c>
      <c r="B3" s="245"/>
      <c r="C3" s="246"/>
      <c r="D3" s="247"/>
      <c r="E3" s="245" t="str">
        <f>IF(目录!G2="中文",对照!AU4,IF(目录!G2="English",对照!AV4,对照!AU4))</f>
        <v>优化日期
Date</v>
      </c>
      <c r="F3" s="248"/>
      <c r="G3" s="249"/>
      <c r="H3" s="250"/>
      <c r="I3" s="290" t="s">
        <v>1746</v>
      </c>
      <c r="J3" s="291"/>
      <c r="K3" s="292"/>
      <c r="L3" s="292"/>
      <c r="M3" s="292"/>
      <c r="N3" s="293"/>
      <c r="O3" s="294" t="s">
        <v>1747</v>
      </c>
      <c r="P3" s="295"/>
      <c r="Q3" s="307" t="s">
        <v>1140</v>
      </c>
      <c r="S3" s="289"/>
    </row>
    <row r="4" ht="15.95" customHeight="1" spans="1:19">
      <c r="A4" s="245"/>
      <c r="B4" s="245"/>
      <c r="C4" s="251"/>
      <c r="D4" s="252"/>
      <c r="E4" s="245"/>
      <c r="F4" s="248"/>
      <c r="G4" s="253"/>
      <c r="H4" s="254"/>
      <c r="I4" s="290"/>
      <c r="J4" s="296"/>
      <c r="K4" s="297"/>
      <c r="L4" s="297"/>
      <c r="M4" s="297"/>
      <c r="N4" s="298"/>
      <c r="O4" s="299"/>
      <c r="P4" s="295"/>
      <c r="Q4" s="307"/>
      <c r="S4" s="289"/>
    </row>
    <row r="5" ht="15.95" customHeight="1" spans="1:19">
      <c r="A5" s="255"/>
      <c r="B5" s="255"/>
      <c r="C5" s="255"/>
      <c r="D5" s="255"/>
      <c r="E5" s="255"/>
      <c r="F5" s="255"/>
      <c r="G5" s="255"/>
      <c r="H5" s="255"/>
      <c r="I5" s="255"/>
      <c r="J5" s="255"/>
      <c r="K5" s="255"/>
      <c r="L5" s="255"/>
      <c r="M5" s="255"/>
      <c r="N5" s="255"/>
      <c r="O5" s="255"/>
      <c r="P5" s="255"/>
      <c r="Q5" s="255"/>
      <c r="S5" s="289"/>
    </row>
    <row r="6" ht="15.95" customHeight="1" spans="1:41">
      <c r="A6" s="256" t="str">
        <f>IF(目录!G2="中文",对照!AU6,IF(目录!G2="English",对照!AV6,对照!AU6))</f>
        <v>序号
Item</v>
      </c>
      <c r="B6" s="257" t="str">
        <f>IF(目录!G2="中文",对照!AU7,IF(目录!G2="English",对照!AV7,对照!AU7))</f>
        <v>保压压力
Holding pressure</v>
      </c>
      <c r="C6" s="258"/>
      <c r="D6" s="259"/>
      <c r="E6" s="257"/>
      <c r="F6" s="259"/>
      <c r="G6" s="257" t="str">
        <f>IF(目录!G2="中文",对照!AU9,IF(目录!G2="English",对照!AV9,对照!AU9))</f>
        <v>制品外观描述
Explanation</v>
      </c>
      <c r="H6" s="258"/>
      <c r="I6" s="258"/>
      <c r="J6" s="258"/>
      <c r="K6" s="258"/>
      <c r="L6" s="258"/>
      <c r="M6" s="258"/>
      <c r="N6" s="259"/>
      <c r="O6" s="257" t="str">
        <f>IF(目录!G2="中文",对照!AU10,IF(目录!G2="English",对照!AV10,对照!AU10))</f>
        <v>制品重量（g）
Product weight </v>
      </c>
      <c r="P6" s="259"/>
      <c r="Q6" s="308" t="s">
        <v>906</v>
      </c>
      <c r="R6" s="309"/>
      <c r="S6" s="309"/>
      <c r="T6" s="228"/>
      <c r="U6" s="228"/>
      <c r="Y6" s="289"/>
      <c r="Z6" s="289"/>
      <c r="AA6" s="289"/>
      <c r="AB6" s="289"/>
      <c r="AC6" s="289"/>
      <c r="AD6" s="289"/>
      <c r="AE6" s="289"/>
      <c r="AF6" s="289"/>
      <c r="AG6" s="289"/>
      <c r="AH6" s="289"/>
      <c r="AI6" s="289"/>
      <c r="AJ6" s="289"/>
      <c r="AK6" s="289"/>
      <c r="AL6" s="289"/>
      <c r="AM6" s="289"/>
      <c r="AN6" s="289"/>
      <c r="AO6" s="289"/>
    </row>
    <row r="7" ht="15.95" customHeight="1" spans="1:41">
      <c r="A7" s="260"/>
      <c r="B7" s="261"/>
      <c r="C7" s="262"/>
      <c r="D7" s="263"/>
      <c r="E7" s="261"/>
      <c r="F7" s="263"/>
      <c r="G7" s="261"/>
      <c r="H7" s="262"/>
      <c r="I7" s="262"/>
      <c r="J7" s="262"/>
      <c r="K7" s="262"/>
      <c r="L7" s="262"/>
      <c r="M7" s="262"/>
      <c r="N7" s="263"/>
      <c r="O7" s="261"/>
      <c r="P7" s="263"/>
      <c r="Q7" s="310"/>
      <c r="R7" s="309"/>
      <c r="S7" s="309"/>
      <c r="T7" s="228"/>
      <c r="U7" s="228"/>
      <c r="Y7" s="289"/>
      <c r="Z7" s="289"/>
      <c r="AA7" s="289"/>
      <c r="AB7" s="289"/>
      <c r="AC7" s="289"/>
      <c r="AD7" s="289"/>
      <c r="AE7" s="289"/>
      <c r="AF7" s="289"/>
      <c r="AG7" s="289"/>
      <c r="AH7" s="289"/>
      <c r="AI7" s="289"/>
      <c r="AJ7" s="289"/>
      <c r="AK7" s="289"/>
      <c r="AL7" s="289"/>
      <c r="AM7" s="289"/>
      <c r="AN7" s="289"/>
      <c r="AO7" s="289"/>
    </row>
    <row r="8" ht="24" customHeight="1" spans="1:41">
      <c r="A8" s="264" t="s">
        <v>1748</v>
      </c>
      <c r="B8" s="265"/>
      <c r="C8" s="266"/>
      <c r="D8" s="266"/>
      <c r="E8" s="266"/>
      <c r="F8" s="267"/>
      <c r="G8" s="268"/>
      <c r="H8" s="269"/>
      <c r="I8" s="269"/>
      <c r="J8" s="269"/>
      <c r="K8" s="269"/>
      <c r="L8" s="269"/>
      <c r="M8" s="269"/>
      <c r="N8" s="269"/>
      <c r="O8" s="300"/>
      <c r="P8" s="301"/>
      <c r="Q8" s="311"/>
      <c r="S8" s="289"/>
      <c r="T8" s="278"/>
      <c r="U8" s="278"/>
      <c r="Y8" s="289"/>
      <c r="Z8" s="316"/>
      <c r="AA8" s="316"/>
      <c r="AB8" s="316"/>
      <c r="AC8" s="316"/>
      <c r="AD8" s="316"/>
      <c r="AE8" s="316"/>
      <c r="AF8" s="316"/>
      <c r="AG8" s="316"/>
      <c r="AH8" s="316"/>
      <c r="AI8" s="316"/>
      <c r="AJ8" s="316"/>
      <c r="AK8" s="316"/>
      <c r="AL8" s="316"/>
      <c r="AM8" s="289"/>
      <c r="AN8" s="289"/>
      <c r="AO8" s="289"/>
    </row>
    <row r="9" ht="24" customHeight="1" spans="1:41">
      <c r="A9" s="264" t="s">
        <v>1749</v>
      </c>
      <c r="B9" s="265"/>
      <c r="C9" s="266"/>
      <c r="D9" s="266"/>
      <c r="E9" s="266"/>
      <c r="F9" s="267"/>
      <c r="G9" s="268"/>
      <c r="H9" s="269"/>
      <c r="I9" s="269"/>
      <c r="J9" s="269"/>
      <c r="K9" s="269"/>
      <c r="L9" s="269"/>
      <c r="M9" s="269"/>
      <c r="N9" s="269"/>
      <c r="O9" s="300"/>
      <c r="P9" s="301"/>
      <c r="Q9" s="311"/>
      <c r="S9" s="289"/>
      <c r="T9" s="278"/>
      <c r="U9" s="278"/>
      <c r="Y9" s="289"/>
      <c r="Z9" s="316"/>
      <c r="AA9" s="316"/>
      <c r="AB9" s="316"/>
      <c r="AC9" s="316"/>
      <c r="AD9" s="316"/>
      <c r="AE9" s="316"/>
      <c r="AF9" s="316"/>
      <c r="AG9" s="316"/>
      <c r="AH9" s="316"/>
      <c r="AI9" s="316"/>
      <c r="AJ9" s="316"/>
      <c r="AK9" s="316"/>
      <c r="AL9" s="316"/>
      <c r="AM9" s="289"/>
      <c r="AN9" s="289"/>
      <c r="AO9" s="289"/>
    </row>
    <row r="10" ht="24" customHeight="1" spans="1:41">
      <c r="A10" s="264" t="s">
        <v>1750</v>
      </c>
      <c r="B10" s="265"/>
      <c r="C10" s="266"/>
      <c r="D10" s="266"/>
      <c r="E10" s="266"/>
      <c r="F10" s="267"/>
      <c r="G10" s="268"/>
      <c r="H10" s="269"/>
      <c r="I10" s="269"/>
      <c r="J10" s="269"/>
      <c r="K10" s="269"/>
      <c r="L10" s="269"/>
      <c r="M10" s="269"/>
      <c r="N10" s="269"/>
      <c r="O10" s="300"/>
      <c r="P10" s="301"/>
      <c r="Q10" s="311"/>
      <c r="S10" s="289"/>
      <c r="T10" s="278"/>
      <c r="U10" s="278"/>
      <c r="Y10" s="289"/>
      <c r="Z10" s="316"/>
      <c r="AA10" s="316"/>
      <c r="AB10" s="316"/>
      <c r="AC10" s="316"/>
      <c r="AD10" s="316"/>
      <c r="AE10" s="316"/>
      <c r="AF10" s="316"/>
      <c r="AG10" s="316"/>
      <c r="AH10" s="316"/>
      <c r="AI10" s="316"/>
      <c r="AJ10" s="316"/>
      <c r="AK10" s="316"/>
      <c r="AL10" s="316"/>
      <c r="AM10" s="289"/>
      <c r="AN10" s="289"/>
      <c r="AO10" s="289"/>
    </row>
    <row r="11" ht="24" customHeight="1" spans="1:41">
      <c r="A11" s="264" t="s">
        <v>1751</v>
      </c>
      <c r="B11" s="265"/>
      <c r="C11" s="266"/>
      <c r="D11" s="266"/>
      <c r="E11" s="266"/>
      <c r="F11" s="267"/>
      <c r="G11" s="268"/>
      <c r="H11" s="269"/>
      <c r="I11" s="269"/>
      <c r="J11" s="269"/>
      <c r="K11" s="269"/>
      <c r="L11" s="269"/>
      <c r="M11" s="269"/>
      <c r="N11" s="269"/>
      <c r="O11" s="300"/>
      <c r="P11" s="301"/>
      <c r="Q11" s="311"/>
      <c r="S11" s="289"/>
      <c r="T11" s="278"/>
      <c r="U11" s="278"/>
      <c r="Y11" s="289"/>
      <c r="Z11" s="316"/>
      <c r="AA11" s="316"/>
      <c r="AB11" s="316"/>
      <c r="AC11" s="316"/>
      <c r="AD11" s="316"/>
      <c r="AE11" s="316"/>
      <c r="AF11" s="316"/>
      <c r="AG11" s="316"/>
      <c r="AH11" s="316"/>
      <c r="AI11" s="316"/>
      <c r="AJ11" s="316"/>
      <c r="AK11" s="316"/>
      <c r="AL11" s="316"/>
      <c r="AM11" s="289"/>
      <c r="AN11" s="289"/>
      <c r="AO11" s="289"/>
    </row>
    <row r="12" ht="24" customHeight="1" spans="1:41">
      <c r="A12" s="264" t="s">
        <v>1752</v>
      </c>
      <c r="B12" s="265"/>
      <c r="C12" s="266"/>
      <c r="D12" s="266"/>
      <c r="E12" s="266"/>
      <c r="F12" s="267"/>
      <c r="G12" s="268"/>
      <c r="H12" s="269"/>
      <c r="I12" s="269"/>
      <c r="J12" s="269"/>
      <c r="K12" s="269"/>
      <c r="L12" s="269"/>
      <c r="M12" s="269"/>
      <c r="N12" s="269"/>
      <c r="O12" s="300"/>
      <c r="P12" s="301"/>
      <c r="Q12" s="311"/>
      <c r="S12" s="289"/>
      <c r="T12" s="278"/>
      <c r="U12" s="278"/>
      <c r="Y12" s="289"/>
      <c r="Z12" s="316"/>
      <c r="AA12" s="316"/>
      <c r="AB12" s="316"/>
      <c r="AC12" s="316"/>
      <c r="AD12" s="316"/>
      <c r="AE12" s="316"/>
      <c r="AF12" s="316"/>
      <c r="AG12" s="316"/>
      <c r="AH12" s="316"/>
      <c r="AI12" s="316"/>
      <c r="AJ12" s="316"/>
      <c r="AK12" s="316"/>
      <c r="AL12" s="316"/>
      <c r="AM12" s="289"/>
      <c r="AN12" s="289"/>
      <c r="AO12" s="289"/>
    </row>
    <row r="13" ht="24" customHeight="1" spans="1:41">
      <c r="A13" s="264" t="s">
        <v>1753</v>
      </c>
      <c r="B13" s="265"/>
      <c r="C13" s="266"/>
      <c r="D13" s="266"/>
      <c r="E13" s="266"/>
      <c r="F13" s="267"/>
      <c r="G13" s="268"/>
      <c r="H13" s="269"/>
      <c r="I13" s="269"/>
      <c r="J13" s="269"/>
      <c r="K13" s="269"/>
      <c r="L13" s="269"/>
      <c r="M13" s="269"/>
      <c r="N13" s="269"/>
      <c r="O13" s="300"/>
      <c r="P13" s="301"/>
      <c r="Q13" s="311"/>
      <c r="S13" s="289"/>
      <c r="T13" s="278"/>
      <c r="U13" s="278"/>
      <c r="Y13" s="289"/>
      <c r="Z13" s="316"/>
      <c r="AA13" s="316"/>
      <c r="AB13" s="316"/>
      <c r="AC13" s="316"/>
      <c r="AD13" s="316"/>
      <c r="AE13" s="316"/>
      <c r="AF13" s="316"/>
      <c r="AG13" s="316"/>
      <c r="AH13" s="316"/>
      <c r="AI13" s="316"/>
      <c r="AJ13" s="316"/>
      <c r="AK13" s="316"/>
      <c r="AL13" s="316"/>
      <c r="AM13" s="289"/>
      <c r="AN13" s="289"/>
      <c r="AO13" s="289"/>
    </row>
    <row r="14" ht="24" customHeight="1" spans="1:41">
      <c r="A14" s="264" t="s">
        <v>1754</v>
      </c>
      <c r="B14" s="265"/>
      <c r="C14" s="266"/>
      <c r="D14" s="266"/>
      <c r="E14" s="266"/>
      <c r="F14" s="267"/>
      <c r="G14" s="268"/>
      <c r="H14" s="269"/>
      <c r="I14" s="269"/>
      <c r="J14" s="269"/>
      <c r="K14" s="269"/>
      <c r="L14" s="269"/>
      <c r="M14" s="269"/>
      <c r="N14" s="302"/>
      <c r="O14" s="300"/>
      <c r="P14" s="301"/>
      <c r="Q14" s="311"/>
      <c r="S14" s="289"/>
      <c r="T14" s="278"/>
      <c r="U14" s="278"/>
      <c r="Y14" s="289"/>
      <c r="Z14" s="316"/>
      <c r="AA14" s="316"/>
      <c r="AB14" s="316"/>
      <c r="AC14" s="316"/>
      <c r="AD14" s="316"/>
      <c r="AE14" s="316"/>
      <c r="AF14" s="316"/>
      <c r="AG14" s="316"/>
      <c r="AH14" s="316"/>
      <c r="AI14" s="316"/>
      <c r="AJ14" s="316"/>
      <c r="AK14" s="316"/>
      <c r="AL14" s="316"/>
      <c r="AM14" s="289"/>
      <c r="AN14" s="289"/>
      <c r="AO14" s="289"/>
    </row>
    <row r="15" ht="24" customHeight="1" spans="1:41">
      <c r="A15" s="264" t="s">
        <v>1755</v>
      </c>
      <c r="B15" s="265"/>
      <c r="C15" s="266"/>
      <c r="D15" s="266"/>
      <c r="E15" s="266"/>
      <c r="F15" s="267"/>
      <c r="G15" s="268"/>
      <c r="H15" s="269"/>
      <c r="I15" s="269"/>
      <c r="J15" s="269"/>
      <c r="K15" s="269"/>
      <c r="L15" s="269"/>
      <c r="M15" s="269"/>
      <c r="N15" s="269"/>
      <c r="O15" s="300"/>
      <c r="P15" s="301"/>
      <c r="Q15" s="311"/>
      <c r="S15" s="289"/>
      <c r="T15" s="278"/>
      <c r="U15" s="278"/>
      <c r="Y15" s="289"/>
      <c r="Z15" s="316"/>
      <c r="AA15" s="316"/>
      <c r="AB15" s="316"/>
      <c r="AC15" s="316"/>
      <c r="AD15" s="316"/>
      <c r="AE15" s="316"/>
      <c r="AF15" s="316"/>
      <c r="AG15" s="316"/>
      <c r="AH15" s="316"/>
      <c r="AI15" s="316"/>
      <c r="AJ15" s="316"/>
      <c r="AK15" s="316"/>
      <c r="AL15" s="316"/>
      <c r="AM15" s="289"/>
      <c r="AN15" s="289"/>
      <c r="AO15" s="289"/>
    </row>
    <row r="16" ht="24" customHeight="1" spans="1:41">
      <c r="A16" s="264" t="s">
        <v>1756</v>
      </c>
      <c r="B16" s="265"/>
      <c r="C16" s="266"/>
      <c r="D16" s="266"/>
      <c r="E16" s="266"/>
      <c r="F16" s="267"/>
      <c r="G16" s="268"/>
      <c r="H16" s="269"/>
      <c r="I16" s="269"/>
      <c r="J16" s="269"/>
      <c r="K16" s="269"/>
      <c r="L16" s="269"/>
      <c r="M16" s="269"/>
      <c r="N16" s="269"/>
      <c r="O16" s="300"/>
      <c r="P16" s="301"/>
      <c r="Q16" s="311"/>
      <c r="S16" s="289"/>
      <c r="T16" s="278"/>
      <c r="U16" s="278"/>
      <c r="Y16" s="289"/>
      <c r="Z16" s="316"/>
      <c r="AA16" s="316"/>
      <c r="AB16" s="316"/>
      <c r="AC16" s="316"/>
      <c r="AD16" s="316"/>
      <c r="AE16" s="316"/>
      <c r="AF16" s="316"/>
      <c r="AG16" s="316"/>
      <c r="AH16" s="316"/>
      <c r="AI16" s="316"/>
      <c r="AJ16" s="316"/>
      <c r="AK16" s="316"/>
      <c r="AL16" s="316"/>
      <c r="AM16" s="289"/>
      <c r="AN16" s="289"/>
      <c r="AO16" s="289"/>
    </row>
    <row r="17" ht="24" customHeight="1" spans="1:41">
      <c r="A17" s="270" t="s">
        <v>1757</v>
      </c>
      <c r="B17" s="271"/>
      <c r="C17" s="272"/>
      <c r="D17" s="272"/>
      <c r="E17" s="272"/>
      <c r="F17" s="273"/>
      <c r="G17" s="274"/>
      <c r="H17" s="275"/>
      <c r="I17" s="275"/>
      <c r="J17" s="275"/>
      <c r="K17" s="275"/>
      <c r="L17" s="275"/>
      <c r="M17" s="275"/>
      <c r="N17" s="275"/>
      <c r="O17" s="303"/>
      <c r="P17" s="304"/>
      <c r="Q17" s="312"/>
      <c r="S17" s="289"/>
      <c r="T17" s="278"/>
      <c r="U17" s="278"/>
      <c r="Y17" s="289"/>
      <c r="Z17" s="316"/>
      <c r="AA17" s="316"/>
      <c r="AB17" s="316"/>
      <c r="AC17" s="316"/>
      <c r="AD17" s="316"/>
      <c r="AE17" s="316"/>
      <c r="AF17" s="316"/>
      <c r="AG17" s="316"/>
      <c r="AH17" s="316"/>
      <c r="AI17" s="316"/>
      <c r="AJ17" s="316"/>
      <c r="AK17" s="316"/>
      <c r="AL17" s="316"/>
      <c r="AM17" s="289"/>
      <c r="AN17" s="289"/>
      <c r="AO17" s="289"/>
    </row>
    <row r="18" ht="15.95" customHeight="1" spans="2:41">
      <c r="B18" s="276"/>
      <c r="C18" s="276"/>
      <c r="D18" s="277"/>
      <c r="E18" s="278"/>
      <c r="F18" s="278"/>
      <c r="G18" s="276"/>
      <c r="H18" s="276"/>
      <c r="I18" s="276"/>
      <c r="J18" s="276"/>
      <c r="K18" s="276"/>
      <c r="L18" s="276"/>
      <c r="M18" s="276"/>
      <c r="N18" s="276"/>
      <c r="O18" s="305"/>
      <c r="P18" s="305"/>
      <c r="Q18" s="305"/>
      <c r="S18" s="289"/>
      <c r="T18" s="278"/>
      <c r="U18" s="278"/>
      <c r="Y18" s="289"/>
      <c r="Z18" s="316"/>
      <c r="AA18" s="316"/>
      <c r="AB18" s="316"/>
      <c r="AC18" s="316"/>
      <c r="AD18" s="316"/>
      <c r="AE18" s="316"/>
      <c r="AF18" s="316"/>
      <c r="AG18" s="316"/>
      <c r="AH18" s="316"/>
      <c r="AI18" s="316"/>
      <c r="AJ18" s="316"/>
      <c r="AK18" s="316"/>
      <c r="AL18" s="316"/>
      <c r="AM18" s="289"/>
      <c r="AN18" s="289"/>
      <c r="AO18" s="289"/>
    </row>
    <row r="19" ht="15.95" customHeight="1" spans="1:41">
      <c r="A19" s="279" t="s">
        <v>1758</v>
      </c>
      <c r="B19" s="280"/>
      <c r="C19" s="280"/>
      <c r="D19" s="280"/>
      <c r="E19" s="280"/>
      <c r="F19" s="280"/>
      <c r="G19" s="280"/>
      <c r="H19" s="280"/>
      <c r="I19" s="280"/>
      <c r="J19" s="280"/>
      <c r="K19" s="280"/>
      <c r="L19" s="280"/>
      <c r="M19" s="280"/>
      <c r="N19" s="280"/>
      <c r="O19" s="280"/>
      <c r="P19" s="280"/>
      <c r="Q19" s="280"/>
      <c r="R19" s="289"/>
      <c r="S19" s="289"/>
      <c r="T19" s="289"/>
      <c r="Y19" s="289"/>
      <c r="Z19" s="289"/>
      <c r="AA19" s="289"/>
      <c r="AB19" s="289"/>
      <c r="AC19" s="289"/>
      <c r="AD19" s="289"/>
      <c r="AE19" s="289"/>
      <c r="AF19" s="289"/>
      <c r="AG19" s="289"/>
      <c r="AH19" s="289"/>
      <c r="AI19" s="289"/>
      <c r="AJ19" s="289"/>
      <c r="AK19" s="289"/>
      <c r="AL19" s="289"/>
      <c r="AM19" s="289"/>
      <c r="AN19" s="289"/>
      <c r="AO19" s="289"/>
    </row>
    <row r="20" ht="15.95" customHeight="1" spans="1:20">
      <c r="A20" s="281"/>
      <c r="B20" s="281"/>
      <c r="C20" s="281"/>
      <c r="D20" s="281"/>
      <c r="E20" s="281"/>
      <c r="F20" s="281"/>
      <c r="G20" s="281"/>
      <c r="H20" s="281"/>
      <c r="I20" s="281"/>
      <c r="J20" s="281"/>
      <c r="K20" s="281"/>
      <c r="L20" s="281"/>
      <c r="M20" s="281"/>
      <c r="N20" s="281"/>
      <c r="O20" s="281"/>
      <c r="P20" s="281"/>
      <c r="Q20" s="281"/>
      <c r="R20" s="289"/>
      <c r="S20" s="289"/>
      <c r="T20" s="289"/>
    </row>
    <row r="21" ht="15.95" customHeight="1" spans="1:19">
      <c r="A21" s="282"/>
      <c r="B21" s="283"/>
      <c r="C21" s="283"/>
      <c r="D21" s="283"/>
      <c r="E21" s="283"/>
      <c r="F21" s="283"/>
      <c r="G21" s="283"/>
      <c r="H21" s="283"/>
      <c r="I21" s="283"/>
      <c r="J21" s="283"/>
      <c r="K21" s="283"/>
      <c r="L21" s="283"/>
      <c r="M21" s="283"/>
      <c r="N21" s="283"/>
      <c r="O21" s="283"/>
      <c r="P21" s="283"/>
      <c r="Q21" s="313"/>
      <c r="R21" s="289"/>
      <c r="S21" s="289"/>
    </row>
    <row r="22" ht="15.95" customHeight="1" spans="1:19">
      <c r="A22" s="284"/>
      <c r="B22" s="285"/>
      <c r="C22" s="285"/>
      <c r="D22" s="285"/>
      <c r="E22" s="285"/>
      <c r="F22" s="285"/>
      <c r="G22" s="285"/>
      <c r="H22" s="285"/>
      <c r="I22" s="285"/>
      <c r="J22" s="285"/>
      <c r="K22" s="285"/>
      <c r="L22" s="285"/>
      <c r="M22" s="285"/>
      <c r="N22" s="285"/>
      <c r="O22" s="285"/>
      <c r="P22" s="285"/>
      <c r="Q22" s="314"/>
      <c r="R22" s="289"/>
      <c r="S22" s="289"/>
    </row>
    <row r="23" ht="15.95" customHeight="1" spans="1:19">
      <c r="A23" s="284"/>
      <c r="B23" s="285"/>
      <c r="C23" s="285"/>
      <c r="D23" s="285"/>
      <c r="E23" s="285"/>
      <c r="F23" s="285"/>
      <c r="G23" s="285"/>
      <c r="H23" s="285"/>
      <c r="I23" s="285"/>
      <c r="J23" s="285"/>
      <c r="K23" s="285"/>
      <c r="L23" s="285"/>
      <c r="M23" s="285"/>
      <c r="N23" s="285"/>
      <c r="O23" s="285"/>
      <c r="P23" s="285"/>
      <c r="Q23" s="314"/>
      <c r="R23" s="289"/>
      <c r="S23" s="289"/>
    </row>
    <row r="24" ht="15.95" customHeight="1" spans="1:19">
      <c r="A24" s="284"/>
      <c r="B24" s="285"/>
      <c r="C24" s="285"/>
      <c r="D24" s="285"/>
      <c r="E24" s="285"/>
      <c r="F24" s="285"/>
      <c r="G24" s="285"/>
      <c r="H24" s="285"/>
      <c r="I24" s="285"/>
      <c r="J24" s="285"/>
      <c r="K24" s="285"/>
      <c r="L24" s="285"/>
      <c r="M24" s="285"/>
      <c r="N24" s="285"/>
      <c r="O24" s="285"/>
      <c r="P24" s="285"/>
      <c r="Q24" s="314"/>
      <c r="R24" s="289"/>
      <c r="S24" s="289"/>
    </row>
    <row r="25" ht="15.95" customHeight="1" spans="1:19">
      <c r="A25" s="284"/>
      <c r="B25" s="285"/>
      <c r="C25" s="285"/>
      <c r="D25" s="285"/>
      <c r="E25" s="285"/>
      <c r="F25" s="285"/>
      <c r="G25" s="285"/>
      <c r="H25" s="285"/>
      <c r="I25" s="285"/>
      <c r="J25" s="285"/>
      <c r="K25" s="285"/>
      <c r="L25" s="285"/>
      <c r="M25" s="285"/>
      <c r="N25" s="285"/>
      <c r="O25" s="285"/>
      <c r="P25" s="285"/>
      <c r="Q25" s="314"/>
      <c r="R25" s="289"/>
      <c r="S25" s="289"/>
    </row>
    <row r="26" ht="15.95" customHeight="1" spans="1:19">
      <c r="A26" s="284"/>
      <c r="B26" s="285"/>
      <c r="C26" s="285"/>
      <c r="D26" s="285"/>
      <c r="E26" s="285"/>
      <c r="F26" s="285"/>
      <c r="G26" s="285"/>
      <c r="H26" s="285"/>
      <c r="I26" s="285"/>
      <c r="J26" s="285"/>
      <c r="K26" s="285"/>
      <c r="L26" s="285"/>
      <c r="M26" s="285"/>
      <c r="N26" s="285"/>
      <c r="O26" s="285"/>
      <c r="P26" s="285"/>
      <c r="Q26" s="314"/>
      <c r="R26" s="289"/>
      <c r="S26" s="289"/>
    </row>
    <row r="27" ht="15.95" customHeight="1" spans="1:19">
      <c r="A27" s="284"/>
      <c r="B27" s="285"/>
      <c r="C27" s="285"/>
      <c r="D27" s="285"/>
      <c r="E27" s="285"/>
      <c r="F27" s="285"/>
      <c r="G27" s="285"/>
      <c r="H27" s="285"/>
      <c r="I27" s="285"/>
      <c r="J27" s="285"/>
      <c r="K27" s="285"/>
      <c r="L27" s="285"/>
      <c r="M27" s="285"/>
      <c r="N27" s="285"/>
      <c r="O27" s="285"/>
      <c r="P27" s="285"/>
      <c r="Q27" s="314"/>
      <c r="R27" s="289"/>
      <c r="S27" s="289"/>
    </row>
    <row r="28" ht="15.95" customHeight="1" spans="1:19">
      <c r="A28" s="286"/>
      <c r="B28" s="287"/>
      <c r="C28" s="287"/>
      <c r="D28" s="287"/>
      <c r="E28" s="287"/>
      <c r="F28" s="287"/>
      <c r="G28" s="287"/>
      <c r="H28" s="287"/>
      <c r="I28" s="287"/>
      <c r="J28" s="287"/>
      <c r="K28" s="287"/>
      <c r="L28" s="287"/>
      <c r="M28" s="287"/>
      <c r="N28" s="287"/>
      <c r="O28" s="287"/>
      <c r="P28" s="287"/>
      <c r="Q28" s="315"/>
      <c r="R28" s="289"/>
      <c r="S28" s="289"/>
    </row>
    <row r="29" ht="15.95" customHeight="1" spans="2:19">
      <c r="B29" s="288"/>
      <c r="C29" s="288"/>
      <c r="D29" s="288"/>
      <c r="E29" s="288"/>
      <c r="F29" s="288"/>
      <c r="G29" s="288"/>
      <c r="H29" s="288"/>
      <c r="I29" s="288"/>
      <c r="J29" s="288"/>
      <c r="K29" s="288"/>
      <c r="L29" s="288"/>
      <c r="M29" s="288"/>
      <c r="N29" s="288"/>
      <c r="O29" s="306" t="s">
        <v>1717</v>
      </c>
      <c r="P29" s="306"/>
      <c r="Q29" s="306"/>
      <c r="R29" s="289"/>
      <c r="S29" s="289"/>
    </row>
    <row r="30" spans="2:19">
      <c r="B30" s="289"/>
      <c r="C30" s="289"/>
      <c r="D30" s="289"/>
      <c r="E30" s="289"/>
      <c r="F30" s="289"/>
      <c r="G30" s="289"/>
      <c r="H30" s="289"/>
      <c r="I30" s="289"/>
      <c r="J30" s="289"/>
      <c r="K30" s="289"/>
      <c r="L30" s="289"/>
      <c r="M30" s="289"/>
      <c r="N30" s="289"/>
      <c r="O30" s="289"/>
      <c r="P30" s="289"/>
      <c r="Q30" s="289"/>
      <c r="R30" s="289"/>
      <c r="S30" s="289"/>
    </row>
    <row r="31" spans="2:19">
      <c r="B31" s="289"/>
      <c r="C31" s="289"/>
      <c r="D31" s="289"/>
      <c r="E31" s="289"/>
      <c r="F31" s="289"/>
      <c r="G31" s="289"/>
      <c r="H31" s="289"/>
      <c r="I31" s="289"/>
      <c r="J31" s="289"/>
      <c r="K31" s="289"/>
      <c r="L31" s="289"/>
      <c r="M31" s="289"/>
      <c r="N31" s="289"/>
      <c r="O31" s="289"/>
      <c r="P31" s="289"/>
      <c r="Q31" s="289"/>
      <c r="R31" s="289"/>
      <c r="S31" s="289"/>
    </row>
    <row r="32" spans="2:19">
      <c r="B32" s="289"/>
      <c r="C32" s="289"/>
      <c r="D32" s="289"/>
      <c r="E32" s="289"/>
      <c r="F32" s="289"/>
      <c r="G32" s="289"/>
      <c r="H32" s="289"/>
      <c r="I32" s="289"/>
      <c r="J32" s="289"/>
      <c r="K32" s="289"/>
      <c r="L32" s="289"/>
      <c r="M32" s="289"/>
      <c r="N32" s="289"/>
      <c r="O32" s="289"/>
      <c r="P32" s="289"/>
      <c r="Q32" s="289"/>
      <c r="R32" s="289"/>
      <c r="S32" s="289"/>
    </row>
    <row r="33" spans="2:19">
      <c r="B33" s="289"/>
      <c r="C33" s="289"/>
      <c r="D33" s="289"/>
      <c r="E33" s="289"/>
      <c r="F33" s="289"/>
      <c r="G33" s="289"/>
      <c r="H33" s="289"/>
      <c r="I33" s="289"/>
      <c r="J33" s="289"/>
      <c r="K33" s="289"/>
      <c r="L33" s="289"/>
      <c r="M33" s="289"/>
      <c r="N33" s="289"/>
      <c r="O33" s="289"/>
      <c r="P33" s="289"/>
      <c r="Q33" s="289"/>
      <c r="R33" s="289"/>
      <c r="S33" s="289"/>
    </row>
    <row r="34" spans="2:19">
      <c r="B34" s="289"/>
      <c r="C34" s="289"/>
      <c r="D34" s="289"/>
      <c r="E34" s="289"/>
      <c r="F34" s="289"/>
      <c r="G34" s="289"/>
      <c r="H34" s="289"/>
      <c r="I34" s="289"/>
      <c r="J34" s="289"/>
      <c r="K34" s="289"/>
      <c r="L34" s="289"/>
      <c r="M34" s="289"/>
      <c r="N34" s="289"/>
      <c r="O34" s="289"/>
      <c r="P34" s="289"/>
      <c r="Q34" s="289"/>
      <c r="R34" s="289"/>
      <c r="S34" s="289"/>
    </row>
    <row r="35" spans="2:19">
      <c r="B35" s="289"/>
      <c r="C35" s="289"/>
      <c r="D35" s="289"/>
      <c r="E35" s="289"/>
      <c r="F35" s="289"/>
      <c r="G35" s="289"/>
      <c r="H35" s="289"/>
      <c r="I35" s="289"/>
      <c r="J35" s="289"/>
      <c r="K35" s="289"/>
      <c r="L35" s="289"/>
      <c r="M35" s="289"/>
      <c r="N35" s="289"/>
      <c r="O35" s="289"/>
      <c r="P35" s="289"/>
      <c r="Q35" s="289"/>
      <c r="R35" s="289"/>
      <c r="S35" s="289"/>
    </row>
    <row r="36" spans="2:19">
      <c r="B36" s="289"/>
      <c r="C36" s="289"/>
      <c r="D36" s="289"/>
      <c r="E36" s="289"/>
      <c r="F36" s="289"/>
      <c r="G36" s="289"/>
      <c r="H36" s="289"/>
      <c r="I36" s="289"/>
      <c r="J36" s="289"/>
      <c r="K36" s="289"/>
      <c r="L36" s="289"/>
      <c r="M36" s="289"/>
      <c r="N36" s="289"/>
      <c r="O36" s="289"/>
      <c r="P36" s="289"/>
      <c r="Q36" s="289"/>
      <c r="R36" s="289"/>
      <c r="S36" s="289"/>
    </row>
    <row r="37" spans="2:19">
      <c r="B37" s="289"/>
      <c r="C37" s="289"/>
      <c r="D37" s="289"/>
      <c r="E37" s="289"/>
      <c r="F37" s="289"/>
      <c r="G37" s="289"/>
      <c r="H37" s="289"/>
      <c r="I37" s="289"/>
      <c r="J37" s="289"/>
      <c r="K37" s="289"/>
      <c r="L37" s="289"/>
      <c r="M37" s="289"/>
      <c r="N37" s="289"/>
      <c r="O37" s="289"/>
      <c r="P37" s="289"/>
      <c r="Q37" s="289"/>
      <c r="R37" s="289"/>
      <c r="S37" s="289"/>
    </row>
    <row r="38" spans="2:19">
      <c r="B38" s="289"/>
      <c r="C38" s="289"/>
      <c r="D38" s="289"/>
      <c r="E38" s="289"/>
      <c r="F38" s="289"/>
      <c r="G38" s="289"/>
      <c r="H38" s="289"/>
      <c r="I38" s="289"/>
      <c r="J38" s="289"/>
      <c r="K38" s="289"/>
      <c r="L38" s="289"/>
      <c r="M38" s="289"/>
      <c r="N38" s="289"/>
      <c r="O38" s="289"/>
      <c r="P38" s="289"/>
      <c r="Q38" s="289"/>
      <c r="R38" s="289"/>
      <c r="S38" s="289"/>
    </row>
    <row r="39" spans="2:19">
      <c r="B39" s="289"/>
      <c r="C39" s="289"/>
      <c r="D39" s="289"/>
      <c r="E39" s="289"/>
      <c r="F39" s="289"/>
      <c r="G39" s="289"/>
      <c r="H39" s="289"/>
      <c r="I39" s="289"/>
      <c r="J39" s="289"/>
      <c r="K39" s="289"/>
      <c r="L39" s="289"/>
      <c r="M39" s="289"/>
      <c r="N39" s="289"/>
      <c r="O39" s="289"/>
      <c r="P39" s="289"/>
      <c r="Q39" s="289"/>
      <c r="R39" s="289"/>
      <c r="S39" s="289"/>
    </row>
    <row r="40" spans="2:19">
      <c r="B40" s="289"/>
      <c r="C40" s="289"/>
      <c r="D40" s="289"/>
      <c r="E40" s="289"/>
      <c r="F40" s="289"/>
      <c r="G40" s="289"/>
      <c r="H40" s="289"/>
      <c r="I40" s="289"/>
      <c r="J40" s="289"/>
      <c r="K40" s="289"/>
      <c r="L40" s="289"/>
      <c r="M40" s="289"/>
      <c r="N40" s="289"/>
      <c r="O40" s="289"/>
      <c r="P40" s="289"/>
      <c r="Q40" s="289"/>
      <c r="R40" s="289"/>
      <c r="S40" s="289"/>
    </row>
    <row r="41" spans="2:19">
      <c r="B41" s="289"/>
      <c r="C41" s="289"/>
      <c r="D41" s="289"/>
      <c r="E41" s="289"/>
      <c r="F41" s="289"/>
      <c r="G41" s="289"/>
      <c r="H41" s="289"/>
      <c r="I41" s="289"/>
      <c r="J41" s="289"/>
      <c r="K41" s="289"/>
      <c r="L41" s="289"/>
      <c r="M41" s="289"/>
      <c r="N41" s="289"/>
      <c r="O41" s="289"/>
      <c r="P41" s="289"/>
      <c r="Q41" s="289"/>
      <c r="R41" s="289"/>
      <c r="S41" s="289"/>
    </row>
    <row r="42" spans="2:19">
      <c r="B42" s="289"/>
      <c r="C42" s="289"/>
      <c r="D42" s="289"/>
      <c r="E42" s="289"/>
      <c r="F42" s="289"/>
      <c r="G42" s="289"/>
      <c r="H42" s="289"/>
      <c r="I42" s="289"/>
      <c r="J42" s="289"/>
      <c r="K42" s="289"/>
      <c r="L42" s="289"/>
      <c r="M42" s="289"/>
      <c r="N42" s="289"/>
      <c r="O42" s="289"/>
      <c r="P42" s="289"/>
      <c r="Q42" s="289"/>
      <c r="R42" s="289"/>
      <c r="S42" s="289"/>
    </row>
    <row r="43" spans="2:19">
      <c r="B43" s="289"/>
      <c r="C43" s="289"/>
      <c r="D43" s="289"/>
      <c r="E43" s="289"/>
      <c r="F43" s="289"/>
      <c r="G43" s="289"/>
      <c r="H43" s="289"/>
      <c r="I43" s="289"/>
      <c r="J43" s="289"/>
      <c r="K43" s="289"/>
      <c r="L43" s="289"/>
      <c r="M43" s="289"/>
      <c r="N43" s="289"/>
      <c r="O43" s="289"/>
      <c r="P43" s="289"/>
      <c r="Q43" s="289"/>
      <c r="R43" s="289"/>
      <c r="S43" s="289"/>
    </row>
    <row r="44" spans="2:19">
      <c r="B44" s="289"/>
      <c r="C44" s="289"/>
      <c r="D44" s="289"/>
      <c r="E44" s="289"/>
      <c r="F44" s="289"/>
      <c r="G44" s="289"/>
      <c r="H44" s="289"/>
      <c r="I44" s="289"/>
      <c r="J44" s="289"/>
      <c r="K44" s="289"/>
      <c r="L44" s="289"/>
      <c r="M44" s="289"/>
      <c r="N44" s="289"/>
      <c r="O44" s="289"/>
      <c r="P44" s="289"/>
      <c r="Q44" s="289"/>
      <c r="R44" s="289"/>
      <c r="S44" s="289"/>
    </row>
    <row r="45" spans="2:19">
      <c r="B45" s="289"/>
      <c r="C45" s="289"/>
      <c r="D45" s="289"/>
      <c r="E45" s="289"/>
      <c r="F45" s="289"/>
      <c r="G45" s="289"/>
      <c r="H45" s="289"/>
      <c r="I45" s="289"/>
      <c r="J45" s="289"/>
      <c r="K45" s="289"/>
      <c r="L45" s="289"/>
      <c r="M45" s="289"/>
      <c r="N45" s="289"/>
      <c r="O45" s="289"/>
      <c r="P45" s="289"/>
      <c r="Q45" s="289"/>
      <c r="R45" s="289"/>
      <c r="S45" s="289"/>
    </row>
    <row r="46" spans="2:19">
      <c r="B46" s="289"/>
      <c r="C46" s="289"/>
      <c r="D46" s="289"/>
      <c r="E46" s="289"/>
      <c r="F46" s="289"/>
      <c r="G46" s="289"/>
      <c r="H46" s="289"/>
      <c r="I46" s="289"/>
      <c r="J46" s="289"/>
      <c r="K46" s="289"/>
      <c r="L46" s="289"/>
      <c r="M46" s="289"/>
      <c r="N46" s="289"/>
      <c r="O46" s="289"/>
      <c r="P46" s="289"/>
      <c r="Q46" s="289"/>
      <c r="R46" s="289"/>
      <c r="S46" s="289"/>
    </row>
    <row r="47" spans="2:19">
      <c r="B47" s="289"/>
      <c r="C47" s="289"/>
      <c r="D47" s="289"/>
      <c r="E47" s="289"/>
      <c r="F47" s="289"/>
      <c r="G47" s="289"/>
      <c r="H47" s="289"/>
      <c r="I47" s="289"/>
      <c r="J47" s="289"/>
      <c r="K47" s="289"/>
      <c r="L47" s="289"/>
      <c r="M47" s="289"/>
      <c r="N47" s="289"/>
      <c r="O47" s="289"/>
      <c r="P47" s="289"/>
      <c r="Q47" s="289"/>
      <c r="R47" s="289"/>
      <c r="S47" s="289"/>
    </row>
    <row r="48" spans="2:19">
      <c r="B48" s="289"/>
      <c r="C48" s="289"/>
      <c r="D48" s="289"/>
      <c r="E48" s="289"/>
      <c r="F48" s="289"/>
      <c r="G48" s="289"/>
      <c r="H48" s="289"/>
      <c r="I48" s="289"/>
      <c r="J48" s="289"/>
      <c r="K48" s="289"/>
      <c r="L48" s="289"/>
      <c r="M48" s="289"/>
      <c r="N48" s="289"/>
      <c r="O48" s="289"/>
      <c r="P48" s="289"/>
      <c r="Q48" s="289"/>
      <c r="R48" s="289"/>
      <c r="S48" s="289"/>
    </row>
    <row r="49" spans="2:19">
      <c r="B49" s="289"/>
      <c r="C49" s="289"/>
      <c r="D49" s="289"/>
      <c r="E49" s="289"/>
      <c r="F49" s="289"/>
      <c r="G49" s="289"/>
      <c r="H49" s="289"/>
      <c r="I49" s="289"/>
      <c r="J49" s="289"/>
      <c r="K49" s="289"/>
      <c r="L49" s="289"/>
      <c r="M49" s="289"/>
      <c r="N49" s="289"/>
      <c r="O49" s="289"/>
      <c r="P49" s="289"/>
      <c r="Q49" s="289"/>
      <c r="R49" s="289"/>
      <c r="S49" s="289"/>
    </row>
    <row r="50" spans="2:19">
      <c r="B50" s="289"/>
      <c r="C50" s="289"/>
      <c r="D50" s="289"/>
      <c r="E50" s="289"/>
      <c r="F50" s="289"/>
      <c r="G50" s="289"/>
      <c r="H50" s="289"/>
      <c r="I50" s="289"/>
      <c r="J50" s="289"/>
      <c r="K50" s="289"/>
      <c r="L50" s="289"/>
      <c r="M50" s="289"/>
      <c r="N50" s="289"/>
      <c r="O50" s="289"/>
      <c r="P50" s="289"/>
      <c r="Q50" s="289"/>
      <c r="R50" s="289"/>
      <c r="S50" s="289"/>
    </row>
    <row r="51" spans="2:19">
      <c r="B51" s="289"/>
      <c r="C51" s="289"/>
      <c r="D51" s="289"/>
      <c r="E51" s="289"/>
      <c r="F51" s="289"/>
      <c r="G51" s="289"/>
      <c r="H51" s="289"/>
      <c r="I51" s="289"/>
      <c r="J51" s="289"/>
      <c r="K51" s="289"/>
      <c r="L51" s="289"/>
      <c r="M51" s="289"/>
      <c r="N51" s="289"/>
      <c r="O51" s="289"/>
      <c r="P51" s="289"/>
      <c r="Q51" s="289"/>
      <c r="R51" s="289"/>
      <c r="S51" s="289"/>
    </row>
    <row r="52" spans="2:19">
      <c r="B52" s="289"/>
      <c r="C52" s="289"/>
      <c r="D52" s="289"/>
      <c r="E52" s="289"/>
      <c r="F52" s="289"/>
      <c r="G52" s="289"/>
      <c r="H52" s="289"/>
      <c r="I52" s="289"/>
      <c r="J52" s="289"/>
      <c r="K52" s="289"/>
      <c r="L52" s="289"/>
      <c r="M52" s="289"/>
      <c r="N52" s="289"/>
      <c r="O52" s="289"/>
      <c r="P52" s="289"/>
      <c r="Q52" s="289"/>
      <c r="R52" s="289"/>
      <c r="S52" s="289"/>
    </row>
    <row r="53" spans="2:19">
      <c r="B53" s="289"/>
      <c r="C53" s="289"/>
      <c r="D53" s="289"/>
      <c r="E53" s="289"/>
      <c r="F53" s="289"/>
      <c r="G53" s="289"/>
      <c r="H53" s="289"/>
      <c r="I53" s="289"/>
      <c r="J53" s="289"/>
      <c r="K53" s="289"/>
      <c r="L53" s="289"/>
      <c r="M53" s="289"/>
      <c r="N53" s="289"/>
      <c r="O53" s="289"/>
      <c r="P53" s="289"/>
      <c r="Q53" s="289"/>
      <c r="R53" s="289"/>
      <c r="S53" s="289"/>
    </row>
  </sheetData>
  <mergeCells count="54">
    <mergeCell ref="A1:Q1"/>
    <mergeCell ref="A2:Q2"/>
    <mergeCell ref="A5:Q5"/>
    <mergeCell ref="B8:F8"/>
    <mergeCell ref="G8:N8"/>
    <mergeCell ref="O8:Q8"/>
    <mergeCell ref="B9:F9"/>
    <mergeCell ref="G9:N9"/>
    <mergeCell ref="O9:Q9"/>
    <mergeCell ref="B10:F10"/>
    <mergeCell ref="G10:N10"/>
    <mergeCell ref="O10:Q10"/>
    <mergeCell ref="B11:F11"/>
    <mergeCell ref="G11:N11"/>
    <mergeCell ref="O11:Q11"/>
    <mergeCell ref="B12:F12"/>
    <mergeCell ref="G12:N12"/>
    <mergeCell ref="O12:Q12"/>
    <mergeCell ref="B13:F13"/>
    <mergeCell ref="G13:N13"/>
    <mergeCell ref="O13:Q13"/>
    <mergeCell ref="B14:F14"/>
    <mergeCell ref="G14:N14"/>
    <mergeCell ref="O14:Q14"/>
    <mergeCell ref="B15:F15"/>
    <mergeCell ref="G15:N15"/>
    <mergeCell ref="O15:Q15"/>
    <mergeCell ref="B16:F16"/>
    <mergeCell ref="G16:N16"/>
    <mergeCell ref="O16:Q16"/>
    <mergeCell ref="B17:F17"/>
    <mergeCell ref="G17:N17"/>
    <mergeCell ref="O17:Q17"/>
    <mergeCell ref="B18:C18"/>
    <mergeCell ref="E18:F18"/>
    <mergeCell ref="G18:N18"/>
    <mergeCell ref="O29:Q29"/>
    <mergeCell ref="A6:A7"/>
    <mergeCell ref="I3:I4"/>
    <mergeCell ref="O3:O4"/>
    <mergeCell ref="P3:P4"/>
    <mergeCell ref="Q3:Q4"/>
    <mergeCell ref="Q6:Q7"/>
    <mergeCell ref="A19:Q20"/>
    <mergeCell ref="E6:F7"/>
    <mergeCell ref="O6:P7"/>
    <mergeCell ref="A3:B4"/>
    <mergeCell ref="C3:D4"/>
    <mergeCell ref="E3:F4"/>
    <mergeCell ref="G3:H4"/>
    <mergeCell ref="J3:N4"/>
    <mergeCell ref="A21:Q28"/>
    <mergeCell ref="B6:D7"/>
    <mergeCell ref="G6:N7"/>
  </mergeCells>
  <hyperlinks>
    <hyperlink ref="A1" location="Catalogue!A1" display="Back"/>
    <hyperlink ref="A1:Q1" location="目录!A1" display="Back"/>
  </hyperlink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74"/>
  <sheetViews>
    <sheetView zoomScale="70" zoomScaleNormal="70" workbookViewId="0">
      <selection activeCell="AM47" sqref="AM47"/>
    </sheetView>
  </sheetViews>
  <sheetFormatPr defaultColWidth="10" defaultRowHeight="14.25"/>
  <cols>
    <col min="1" max="1" width="5.25" style="180" customWidth="1"/>
    <col min="2" max="3" width="6.625" style="180" customWidth="1"/>
    <col min="4" max="4" width="3.625" style="180" customWidth="1"/>
    <col min="5" max="5" width="14.25" style="180" customWidth="1"/>
    <col min="6" max="6" width="3.625" style="180" customWidth="1"/>
    <col min="7" max="7" width="12.625" style="180" customWidth="1"/>
    <col min="8" max="8" width="3.625" style="180" customWidth="1"/>
    <col min="9" max="9" width="8" style="180" customWidth="1"/>
    <col min="10" max="10" width="5.375" style="180" customWidth="1"/>
    <col min="11" max="12" width="8.625" style="180" customWidth="1"/>
    <col min="13" max="13" width="6.625" style="180" customWidth="1"/>
    <col min="14" max="14" width="2.625" style="180" customWidth="1"/>
    <col min="15" max="15" width="14.5" customWidth="1"/>
    <col min="16" max="18" width="3.375" style="180" customWidth="1"/>
    <col min="19" max="48" width="3.125" style="180" customWidth="1"/>
    <col min="49" max="16384" width="10" style="180"/>
  </cols>
  <sheetData>
    <row r="1" ht="15.75" spans="1:19">
      <c r="A1" s="3" t="s">
        <v>880</v>
      </c>
      <c r="B1" s="3"/>
      <c r="C1" s="3"/>
      <c r="D1" s="3"/>
      <c r="E1" s="3"/>
      <c r="F1" s="3"/>
      <c r="G1" s="3"/>
      <c r="H1" s="3"/>
      <c r="I1" s="3"/>
      <c r="J1" s="3"/>
      <c r="K1" s="3"/>
      <c r="L1" s="3"/>
      <c r="M1" s="3"/>
      <c r="N1" s="3"/>
      <c r="P1" s="208"/>
      <c r="Q1" s="208"/>
      <c r="R1" s="208"/>
      <c r="S1" s="208"/>
    </row>
    <row r="2" ht="56.1" customHeight="1" spans="1:19">
      <c r="A2" s="65" t="str">
        <f>IF(目录!G2="中文",对照!AX2,IF(目录!G2="English",对照!AY2,对照!AX2))</f>
        <v>保压时间优化
Optimized Holding Time Report</v>
      </c>
      <c r="B2" s="65"/>
      <c r="C2" s="65"/>
      <c r="D2" s="65"/>
      <c r="E2" s="65"/>
      <c r="F2" s="65"/>
      <c r="G2" s="65"/>
      <c r="H2" s="65"/>
      <c r="I2" s="65"/>
      <c r="J2" s="65"/>
      <c r="K2" s="65"/>
      <c r="L2" s="65"/>
      <c r="M2" s="65"/>
      <c r="N2" s="65"/>
      <c r="P2" s="213"/>
      <c r="Q2" s="213"/>
      <c r="R2" s="208"/>
      <c r="S2" s="208"/>
    </row>
    <row r="3" ht="15.95" customHeight="1" spans="1:19">
      <c r="A3" s="181" t="str">
        <f>IF(目录!G2="中文",对照!AU3,IF(目录!G2="English",对照!AV3,对照!AU3))</f>
        <v>优化操作者
Operator</v>
      </c>
      <c r="B3" s="182"/>
      <c r="C3" s="183"/>
      <c r="D3" s="183"/>
      <c r="E3" s="184" t="s">
        <v>1759</v>
      </c>
      <c r="F3" s="182"/>
      <c r="G3" s="185"/>
      <c r="H3" s="185"/>
      <c r="I3" s="208"/>
      <c r="J3" s="181" t="str">
        <f>IF(目录!G2="中文",对照!AX3,IF(目录!G2="English",对照!AY3,对照!AX3))</f>
        <v>优化结果
Optimized result</v>
      </c>
      <c r="K3" s="182"/>
      <c r="L3" s="214"/>
      <c r="M3" s="215"/>
      <c r="N3" s="216" t="s">
        <v>894</v>
      </c>
      <c r="P3" s="213"/>
      <c r="Q3" s="213"/>
      <c r="R3" s="208"/>
      <c r="S3" s="208"/>
    </row>
    <row r="4" ht="15.95" customHeight="1" spans="1:18">
      <c r="A4" s="181"/>
      <c r="B4" s="182"/>
      <c r="C4" s="183"/>
      <c r="D4" s="183"/>
      <c r="E4" s="184"/>
      <c r="F4" s="182"/>
      <c r="G4" s="185"/>
      <c r="H4" s="185"/>
      <c r="I4" s="217"/>
      <c r="J4" s="181"/>
      <c r="K4" s="182"/>
      <c r="L4" s="218"/>
      <c r="M4" s="219"/>
      <c r="N4" s="216"/>
      <c r="P4" s="220"/>
      <c r="Q4" s="208"/>
      <c r="R4" s="208"/>
    </row>
    <row r="5" ht="15.95" customHeight="1" spans="1:18">
      <c r="A5" s="186"/>
      <c r="B5" s="186"/>
      <c r="C5" s="186"/>
      <c r="D5" s="187"/>
      <c r="E5" s="187"/>
      <c r="F5" s="188"/>
      <c r="G5" s="186"/>
      <c r="H5" s="186"/>
      <c r="I5" s="221"/>
      <c r="J5" s="221"/>
      <c r="K5" s="186"/>
      <c r="L5" s="186"/>
      <c r="M5" s="186"/>
      <c r="N5" s="222"/>
      <c r="P5" s="220"/>
      <c r="Q5" s="208"/>
      <c r="R5" s="208"/>
    </row>
    <row r="6" ht="15.95" customHeight="1" spans="1:18">
      <c r="A6" s="189" t="s">
        <v>1760</v>
      </c>
      <c r="B6" s="190" t="s">
        <v>1761</v>
      </c>
      <c r="C6" s="191"/>
      <c r="D6" s="191" t="s">
        <v>894</v>
      </c>
      <c r="E6" s="192" t="s">
        <v>1762</v>
      </c>
      <c r="F6" s="193" t="s">
        <v>906</v>
      </c>
      <c r="G6" s="194" t="s">
        <v>328</v>
      </c>
      <c r="H6" s="193" t="s">
        <v>894</v>
      </c>
      <c r="I6" s="223"/>
      <c r="J6" s="194" t="s">
        <v>1760</v>
      </c>
      <c r="K6" s="224" t="str">
        <f>IF(目录!G2="中文",对照!AX8,IF(目录!G2="English",对照!AY8,对照!AX8))</f>
        <v>产品重量 Product weight (g)</v>
      </c>
      <c r="L6" s="225"/>
      <c r="M6" s="226"/>
      <c r="N6" s="227"/>
      <c r="P6" s="208"/>
      <c r="Q6" s="208"/>
      <c r="R6" s="208"/>
    </row>
    <row r="7" ht="15.95" customHeight="1" spans="1:18">
      <c r="A7" s="195" t="s">
        <v>217</v>
      </c>
      <c r="B7" s="196" t="s">
        <v>788</v>
      </c>
      <c r="C7" s="197"/>
      <c r="D7" s="197"/>
      <c r="E7" s="197" t="s">
        <v>294</v>
      </c>
      <c r="F7" s="198"/>
      <c r="G7" s="198" t="s">
        <v>789</v>
      </c>
      <c r="H7" s="199"/>
      <c r="I7" s="228"/>
      <c r="J7" s="198" t="s">
        <v>217</v>
      </c>
      <c r="K7" s="229" t="s">
        <v>1613</v>
      </c>
      <c r="L7" s="229" t="s">
        <v>1614</v>
      </c>
      <c r="M7" s="230" t="s">
        <v>1615</v>
      </c>
      <c r="N7" s="231"/>
      <c r="P7" s="208"/>
      <c r="Q7" s="208"/>
      <c r="R7" s="208"/>
    </row>
    <row r="8" ht="24" customHeight="1" spans="1:17">
      <c r="A8" s="200">
        <v>1</v>
      </c>
      <c r="B8" s="201"/>
      <c r="C8" s="201"/>
      <c r="D8" s="201"/>
      <c r="E8" s="202"/>
      <c r="F8" s="203"/>
      <c r="G8" s="202"/>
      <c r="H8" s="203"/>
      <c r="I8" s="232"/>
      <c r="J8" s="233">
        <v>1</v>
      </c>
      <c r="K8" s="234"/>
      <c r="L8" s="234"/>
      <c r="M8" s="235"/>
      <c r="N8" s="236"/>
      <c r="Q8" s="208"/>
    </row>
    <row r="9" ht="24" customHeight="1" spans="1:17">
      <c r="A9" s="200">
        <v>2</v>
      </c>
      <c r="B9" s="201"/>
      <c r="C9" s="201"/>
      <c r="D9" s="201"/>
      <c r="E9" s="202"/>
      <c r="F9" s="203"/>
      <c r="G9" s="202"/>
      <c r="H9" s="203"/>
      <c r="I9" s="232"/>
      <c r="J9" s="233">
        <v>2</v>
      </c>
      <c r="K9" s="234"/>
      <c r="L9" s="234"/>
      <c r="M9" s="235"/>
      <c r="N9" s="236"/>
      <c r="Q9" s="208"/>
    </row>
    <row r="10" ht="24" customHeight="1" spans="1:17">
      <c r="A10" s="200">
        <v>3</v>
      </c>
      <c r="B10" s="201"/>
      <c r="C10" s="201"/>
      <c r="D10" s="201"/>
      <c r="E10" s="202"/>
      <c r="F10" s="203"/>
      <c r="G10" s="202"/>
      <c r="H10" s="203"/>
      <c r="I10" s="232"/>
      <c r="J10" s="233">
        <v>3</v>
      </c>
      <c r="K10" s="234"/>
      <c r="L10" s="234"/>
      <c r="M10" s="235"/>
      <c r="N10" s="236"/>
      <c r="Q10" s="208"/>
    </row>
    <row r="11" ht="24" customHeight="1" spans="1:18">
      <c r="A11" s="200">
        <v>4</v>
      </c>
      <c r="B11" s="201"/>
      <c r="C11" s="201"/>
      <c r="D11" s="201"/>
      <c r="E11" s="202"/>
      <c r="F11" s="203"/>
      <c r="G11" s="202"/>
      <c r="H11" s="203"/>
      <c r="I11" s="232"/>
      <c r="J11" s="233">
        <v>4</v>
      </c>
      <c r="K11" s="234"/>
      <c r="L11" s="234"/>
      <c r="M11" s="235"/>
      <c r="N11" s="236"/>
      <c r="P11" s="237"/>
      <c r="Q11" s="237"/>
      <c r="R11" s="208"/>
    </row>
    <row r="12" ht="24" customHeight="1" spans="1:18">
      <c r="A12" s="200">
        <v>5</v>
      </c>
      <c r="B12" s="201"/>
      <c r="C12" s="201"/>
      <c r="D12" s="201"/>
      <c r="E12" s="202"/>
      <c r="F12" s="203"/>
      <c r="G12" s="202"/>
      <c r="H12" s="203"/>
      <c r="I12" s="232"/>
      <c r="J12" s="233">
        <v>5</v>
      </c>
      <c r="K12" s="234"/>
      <c r="L12" s="234"/>
      <c r="M12" s="235"/>
      <c r="N12" s="236"/>
      <c r="P12" s="208"/>
      <c r="Q12" s="208"/>
      <c r="R12" s="208"/>
    </row>
    <row r="13" ht="24" customHeight="1" spans="1:18">
      <c r="A13" s="200">
        <v>6</v>
      </c>
      <c r="B13" s="201"/>
      <c r="C13" s="201"/>
      <c r="D13" s="201"/>
      <c r="E13" s="202"/>
      <c r="F13" s="203"/>
      <c r="G13" s="202"/>
      <c r="H13" s="203"/>
      <c r="I13" s="232"/>
      <c r="J13" s="233">
        <v>6</v>
      </c>
      <c r="K13" s="234"/>
      <c r="L13" s="234"/>
      <c r="M13" s="235"/>
      <c r="N13" s="236"/>
      <c r="P13" s="208"/>
      <c r="Q13" s="208"/>
      <c r="R13" s="208"/>
    </row>
    <row r="14" ht="24" customHeight="1" spans="1:18">
      <c r="A14" s="200">
        <v>7</v>
      </c>
      <c r="B14" s="201"/>
      <c r="C14" s="201"/>
      <c r="D14" s="201"/>
      <c r="E14" s="202"/>
      <c r="F14" s="203"/>
      <c r="G14" s="202"/>
      <c r="H14" s="203"/>
      <c r="I14" s="232"/>
      <c r="J14" s="233">
        <v>7</v>
      </c>
      <c r="K14" s="234"/>
      <c r="L14" s="234"/>
      <c r="M14" s="235"/>
      <c r="N14" s="236"/>
      <c r="R14" s="208"/>
    </row>
    <row r="15" ht="24" customHeight="1" spans="1:18">
      <c r="A15" s="200">
        <v>8</v>
      </c>
      <c r="B15" s="201"/>
      <c r="C15" s="201"/>
      <c r="D15" s="201"/>
      <c r="E15" s="202"/>
      <c r="F15" s="203"/>
      <c r="G15" s="202"/>
      <c r="H15" s="203"/>
      <c r="I15" s="232"/>
      <c r="J15" s="233">
        <v>8</v>
      </c>
      <c r="K15" s="234"/>
      <c r="L15" s="234"/>
      <c r="M15" s="235"/>
      <c r="N15" s="236"/>
      <c r="R15" s="208"/>
    </row>
    <row r="16" ht="24" customHeight="1" spans="1:18">
      <c r="A16" s="200">
        <v>9</v>
      </c>
      <c r="B16" s="201"/>
      <c r="C16" s="201"/>
      <c r="D16" s="201"/>
      <c r="E16" s="202"/>
      <c r="F16" s="203"/>
      <c r="G16" s="202"/>
      <c r="H16" s="203"/>
      <c r="I16" s="232"/>
      <c r="J16" s="233">
        <v>9</v>
      </c>
      <c r="K16" s="234"/>
      <c r="L16" s="234"/>
      <c r="M16" s="235"/>
      <c r="N16" s="236"/>
      <c r="R16" s="208"/>
    </row>
    <row r="17" ht="24" customHeight="1" spans="1:18">
      <c r="A17" s="204">
        <v>10</v>
      </c>
      <c r="B17" s="205"/>
      <c r="C17" s="205"/>
      <c r="D17" s="205"/>
      <c r="E17" s="206"/>
      <c r="F17" s="207"/>
      <c r="G17" s="206"/>
      <c r="H17" s="207"/>
      <c r="I17" s="238"/>
      <c r="J17" s="239">
        <v>10</v>
      </c>
      <c r="K17" s="240"/>
      <c r="L17" s="240"/>
      <c r="M17" s="241"/>
      <c r="N17" s="242"/>
      <c r="P17" s="208"/>
      <c r="Q17" s="208"/>
      <c r="R17" s="208"/>
    </row>
    <row r="18" ht="15.95" customHeight="1" spans="1:18">
      <c r="A18" s="208"/>
      <c r="B18" s="208"/>
      <c r="C18" s="208"/>
      <c r="D18" s="208"/>
      <c r="E18" s="208"/>
      <c r="F18" s="208"/>
      <c r="G18" s="208"/>
      <c r="H18" s="208"/>
      <c r="I18" s="208"/>
      <c r="J18" s="208"/>
      <c r="K18" s="208"/>
      <c r="L18" s="208"/>
      <c r="M18" s="208"/>
      <c r="N18" s="208"/>
      <c r="P18" s="208"/>
      <c r="Q18" s="208"/>
      <c r="R18" s="208"/>
    </row>
    <row r="19" ht="15.95" customHeight="1" spans="1:18">
      <c r="A19" s="208"/>
      <c r="B19" s="208"/>
      <c r="C19" s="208"/>
      <c r="D19" s="208"/>
      <c r="E19" s="208"/>
      <c r="F19" s="208"/>
      <c r="G19" s="208"/>
      <c r="H19" s="208"/>
      <c r="I19" s="208"/>
      <c r="J19" s="208"/>
      <c r="K19" s="208"/>
      <c r="L19" s="208"/>
      <c r="M19" s="208"/>
      <c r="N19" s="208"/>
      <c r="P19" s="208"/>
      <c r="Q19" s="208"/>
      <c r="R19" s="208"/>
    </row>
    <row r="20" ht="15.95" customHeight="1" spans="1:18">
      <c r="A20" s="208"/>
      <c r="B20" s="208"/>
      <c r="C20" s="208"/>
      <c r="D20" s="208"/>
      <c r="E20" s="208"/>
      <c r="F20" s="208"/>
      <c r="G20" s="208"/>
      <c r="H20" s="208"/>
      <c r="I20" s="208"/>
      <c r="J20" s="208"/>
      <c r="K20" s="208"/>
      <c r="L20" s="208"/>
      <c r="M20" s="208"/>
      <c r="N20" s="208"/>
      <c r="P20" s="208"/>
      <c r="Q20" s="208"/>
      <c r="R20" s="208"/>
    </row>
    <row r="21" ht="15.95" customHeight="1" spans="1:18">
      <c r="A21" s="208"/>
      <c r="B21" s="208"/>
      <c r="C21" s="208"/>
      <c r="D21" s="208"/>
      <c r="E21" s="208"/>
      <c r="F21" s="208"/>
      <c r="G21" s="208"/>
      <c r="H21" s="208"/>
      <c r="I21" s="208"/>
      <c r="J21" s="208"/>
      <c r="K21" s="208"/>
      <c r="L21" s="208"/>
      <c r="M21" s="208"/>
      <c r="N21" s="208"/>
      <c r="P21" s="208"/>
      <c r="Q21" s="208"/>
      <c r="R21" s="208"/>
    </row>
    <row r="22" ht="15.95" customHeight="1" spans="1:18">
      <c r="A22" s="208"/>
      <c r="B22" s="208"/>
      <c r="C22" s="208"/>
      <c r="D22" s="208"/>
      <c r="E22" s="208"/>
      <c r="F22" s="208"/>
      <c r="G22" s="208"/>
      <c r="H22" s="208"/>
      <c r="I22" s="208"/>
      <c r="J22" s="208"/>
      <c r="K22" s="208"/>
      <c r="L22" s="208"/>
      <c r="M22" s="208"/>
      <c r="N22" s="208"/>
      <c r="P22" s="208"/>
      <c r="Q22" s="208"/>
      <c r="R22" s="208"/>
    </row>
    <row r="23" ht="15.95" customHeight="1" spans="1:18">
      <c r="A23" s="208"/>
      <c r="B23" s="208"/>
      <c r="C23" s="208"/>
      <c r="D23" s="208"/>
      <c r="E23" s="208"/>
      <c r="F23" s="208"/>
      <c r="G23" s="208"/>
      <c r="H23" s="208"/>
      <c r="I23" s="208"/>
      <c r="J23" s="208"/>
      <c r="K23" s="208"/>
      <c r="L23" s="208"/>
      <c r="M23" s="208"/>
      <c r="N23" s="208"/>
      <c r="P23" s="208"/>
      <c r="Q23" s="208"/>
      <c r="R23" s="208"/>
    </row>
    <row r="24" ht="15.95" customHeight="1" spans="1:18">
      <c r="A24" s="208"/>
      <c r="B24" s="208"/>
      <c r="C24" s="208"/>
      <c r="D24" s="208"/>
      <c r="E24" s="208"/>
      <c r="F24" s="208"/>
      <c r="G24" s="208"/>
      <c r="H24" s="208"/>
      <c r="I24" s="208"/>
      <c r="J24" s="208"/>
      <c r="K24" s="208"/>
      <c r="L24" s="208"/>
      <c r="M24" s="208"/>
      <c r="N24" s="208"/>
      <c r="P24" s="208"/>
      <c r="Q24" s="208"/>
      <c r="R24" s="208"/>
    </row>
    <row r="25" ht="15.95" customHeight="1" spans="1:18">
      <c r="A25" s="208"/>
      <c r="B25" s="208"/>
      <c r="C25" s="208"/>
      <c r="D25" s="208"/>
      <c r="E25" s="208"/>
      <c r="F25" s="208"/>
      <c r="G25" s="208"/>
      <c r="H25" s="208"/>
      <c r="I25" s="208"/>
      <c r="J25" s="208"/>
      <c r="K25" s="208"/>
      <c r="L25" s="208"/>
      <c r="M25" s="208"/>
      <c r="N25" s="208"/>
      <c r="P25" s="208"/>
      <c r="Q25" s="208"/>
      <c r="R25" s="208"/>
    </row>
    <row r="26" ht="15.95" customHeight="1" spans="1:18">
      <c r="A26" s="208"/>
      <c r="B26" s="208"/>
      <c r="C26" s="208"/>
      <c r="D26" s="208"/>
      <c r="E26" s="208"/>
      <c r="F26" s="208"/>
      <c r="G26" s="208"/>
      <c r="H26" s="208"/>
      <c r="I26" s="208"/>
      <c r="J26" s="208"/>
      <c r="K26" s="208"/>
      <c r="L26" s="208"/>
      <c r="M26" s="208"/>
      <c r="N26" s="208"/>
      <c r="P26" s="208"/>
      <c r="Q26" s="208"/>
      <c r="R26" s="208"/>
    </row>
    <row r="27" ht="15.95" customHeight="1" spans="1:18">
      <c r="A27" s="208"/>
      <c r="B27" s="208"/>
      <c r="C27" s="208"/>
      <c r="D27" s="208"/>
      <c r="E27" s="208"/>
      <c r="F27" s="208"/>
      <c r="G27" s="208"/>
      <c r="H27" s="208"/>
      <c r="I27" s="208"/>
      <c r="J27" s="208"/>
      <c r="K27" s="208"/>
      <c r="L27" s="208"/>
      <c r="M27" s="208"/>
      <c r="N27" s="208"/>
      <c r="P27" s="208"/>
      <c r="Q27" s="208"/>
      <c r="R27" s="208"/>
    </row>
    <row r="28" ht="15.95" customHeight="1" spans="1:18">
      <c r="A28" s="208"/>
      <c r="B28" s="208"/>
      <c r="C28" s="208"/>
      <c r="D28" s="208"/>
      <c r="E28" s="208"/>
      <c r="F28" s="208"/>
      <c r="G28" s="208"/>
      <c r="H28" s="208"/>
      <c r="I28" s="208"/>
      <c r="J28" s="208"/>
      <c r="K28" s="208"/>
      <c r="L28" s="208"/>
      <c r="M28" s="208"/>
      <c r="N28" s="208"/>
      <c r="P28" s="208"/>
      <c r="Q28" s="208"/>
      <c r="R28" s="208"/>
    </row>
    <row r="29" ht="15.95" customHeight="1" spans="1:18">
      <c r="A29" s="208"/>
      <c r="B29" s="208"/>
      <c r="C29" s="208"/>
      <c r="D29" s="208"/>
      <c r="E29" s="208"/>
      <c r="F29" s="208"/>
      <c r="G29" s="208"/>
      <c r="H29" s="208"/>
      <c r="I29" s="208"/>
      <c r="J29" s="208"/>
      <c r="K29" s="208"/>
      <c r="L29" s="208"/>
      <c r="M29" s="208"/>
      <c r="N29" s="208"/>
      <c r="P29" s="208"/>
      <c r="Q29" s="208"/>
      <c r="R29" s="208"/>
    </row>
    <row r="30" ht="15.95" customHeight="1" spans="1:18">
      <c r="A30" s="208"/>
      <c r="B30" s="208"/>
      <c r="C30" s="208"/>
      <c r="D30" s="208"/>
      <c r="E30" s="208"/>
      <c r="F30" s="208"/>
      <c r="G30" s="208"/>
      <c r="H30" s="208"/>
      <c r="I30" s="208"/>
      <c r="J30" s="208"/>
      <c r="K30" s="208"/>
      <c r="L30" s="208"/>
      <c r="M30" s="208"/>
      <c r="N30" s="208"/>
      <c r="P30" s="208"/>
      <c r="Q30" s="208"/>
      <c r="R30" s="208"/>
    </row>
    <row r="31" ht="15.95" customHeight="1" spans="1:18">
      <c r="A31" s="208"/>
      <c r="B31" s="208"/>
      <c r="C31" s="208"/>
      <c r="D31" s="208"/>
      <c r="E31" s="208"/>
      <c r="F31" s="208"/>
      <c r="G31" s="208"/>
      <c r="H31" s="208"/>
      <c r="I31" s="208"/>
      <c r="J31" s="208"/>
      <c r="K31" s="208"/>
      <c r="L31" s="208"/>
      <c r="M31" s="208"/>
      <c r="N31" s="208"/>
      <c r="P31" s="208"/>
      <c r="Q31" s="208"/>
      <c r="R31" s="208"/>
    </row>
    <row r="32" ht="15.95" customHeight="1" spans="1:18">
      <c r="A32" s="208"/>
      <c r="B32" s="208"/>
      <c r="C32" s="208"/>
      <c r="D32" s="208"/>
      <c r="E32" s="208"/>
      <c r="F32" s="208"/>
      <c r="G32" s="208"/>
      <c r="H32" s="208"/>
      <c r="I32" s="208"/>
      <c r="J32" s="208"/>
      <c r="K32" s="208"/>
      <c r="L32" s="208"/>
      <c r="M32" s="208"/>
      <c r="N32" s="208"/>
      <c r="P32" s="208"/>
      <c r="Q32" s="208"/>
      <c r="R32" s="208"/>
    </row>
    <row r="33" ht="15" customHeight="1" spans="1:18">
      <c r="A33" s="209" t="s">
        <v>1763</v>
      </c>
      <c r="B33" s="210"/>
      <c r="C33" s="210"/>
      <c r="D33" s="210"/>
      <c r="E33" s="210"/>
      <c r="F33" s="210"/>
      <c r="G33" s="210"/>
      <c r="H33" s="210"/>
      <c r="I33" s="210"/>
      <c r="J33" s="210"/>
      <c r="K33" s="210"/>
      <c r="L33" s="210"/>
      <c r="M33" s="210"/>
      <c r="N33" s="210"/>
      <c r="P33" s="208"/>
      <c r="Q33" s="208"/>
      <c r="R33" s="208"/>
    </row>
    <row r="34" ht="15" spans="1:18">
      <c r="A34" s="211"/>
      <c r="B34" s="211"/>
      <c r="C34" s="211"/>
      <c r="D34" s="211"/>
      <c r="E34" s="211"/>
      <c r="F34" s="211"/>
      <c r="G34" s="211"/>
      <c r="H34" s="211"/>
      <c r="I34" s="211"/>
      <c r="J34" s="211"/>
      <c r="K34" s="211"/>
      <c r="L34" s="211"/>
      <c r="M34" s="211"/>
      <c r="N34" s="211"/>
      <c r="P34" s="208"/>
      <c r="Q34" s="208"/>
      <c r="R34" s="208"/>
    </row>
    <row r="35" spans="1:18">
      <c r="A35" s="124"/>
      <c r="B35" s="125"/>
      <c r="C35" s="125"/>
      <c r="D35" s="125"/>
      <c r="E35" s="125"/>
      <c r="F35" s="125"/>
      <c r="G35" s="125"/>
      <c r="H35" s="125"/>
      <c r="I35" s="125"/>
      <c r="J35" s="125"/>
      <c r="K35" s="125"/>
      <c r="L35" s="125"/>
      <c r="M35" s="125"/>
      <c r="N35" s="140"/>
      <c r="P35" s="208"/>
      <c r="Q35" s="208"/>
      <c r="R35" s="208"/>
    </row>
    <row r="36" spans="1:18">
      <c r="A36" s="126"/>
      <c r="B36" s="127"/>
      <c r="C36" s="127"/>
      <c r="D36" s="127"/>
      <c r="E36" s="127"/>
      <c r="F36" s="127"/>
      <c r="G36" s="127"/>
      <c r="H36" s="127"/>
      <c r="I36" s="127"/>
      <c r="J36" s="127"/>
      <c r="K36" s="127"/>
      <c r="L36" s="127"/>
      <c r="M36" s="127"/>
      <c r="N36" s="141"/>
      <c r="P36" s="208"/>
      <c r="Q36" s="208"/>
      <c r="R36" s="208"/>
    </row>
    <row r="37" spans="1:18">
      <c r="A37" s="126"/>
      <c r="B37" s="127"/>
      <c r="C37" s="127"/>
      <c r="D37" s="127"/>
      <c r="E37" s="127"/>
      <c r="F37" s="127"/>
      <c r="G37" s="127"/>
      <c r="H37" s="127"/>
      <c r="I37" s="127"/>
      <c r="J37" s="127"/>
      <c r="K37" s="127"/>
      <c r="L37" s="127"/>
      <c r="M37" s="127"/>
      <c r="N37" s="141"/>
      <c r="P37" s="208"/>
      <c r="Q37" s="208"/>
      <c r="R37" s="208"/>
    </row>
    <row r="38" spans="1:18">
      <c r="A38" s="126"/>
      <c r="B38" s="127"/>
      <c r="C38" s="127"/>
      <c r="D38" s="127"/>
      <c r="E38" s="127"/>
      <c r="F38" s="127"/>
      <c r="G38" s="127"/>
      <c r="H38" s="127"/>
      <c r="I38" s="127"/>
      <c r="J38" s="127"/>
      <c r="K38" s="127"/>
      <c r="L38" s="127"/>
      <c r="M38" s="127"/>
      <c r="N38" s="141"/>
      <c r="P38" s="208"/>
      <c r="Q38" s="208"/>
      <c r="R38" s="208"/>
    </row>
    <row r="39" spans="1:18">
      <c r="A39" s="126"/>
      <c r="B39" s="127"/>
      <c r="C39" s="127"/>
      <c r="D39" s="127"/>
      <c r="E39" s="127"/>
      <c r="F39" s="127"/>
      <c r="G39" s="127"/>
      <c r="H39" s="127"/>
      <c r="I39" s="127"/>
      <c r="J39" s="127"/>
      <c r="K39" s="127"/>
      <c r="L39" s="127"/>
      <c r="M39" s="127"/>
      <c r="N39" s="141"/>
      <c r="P39" s="208"/>
      <c r="Q39" s="208"/>
      <c r="R39" s="208"/>
    </row>
    <row r="40" spans="1:18">
      <c r="A40" s="126"/>
      <c r="B40" s="127"/>
      <c r="C40" s="127"/>
      <c r="D40" s="127"/>
      <c r="E40" s="127"/>
      <c r="F40" s="127"/>
      <c r="G40" s="127"/>
      <c r="H40" s="127"/>
      <c r="I40" s="127"/>
      <c r="J40" s="127"/>
      <c r="K40" s="127"/>
      <c r="L40" s="127"/>
      <c r="M40" s="127"/>
      <c r="N40" s="141"/>
      <c r="P40" s="208"/>
      <c r="Q40" s="208"/>
      <c r="R40" s="208"/>
    </row>
    <row r="41" spans="1:18">
      <c r="A41" s="126"/>
      <c r="B41" s="127"/>
      <c r="C41" s="127"/>
      <c r="D41" s="127"/>
      <c r="E41" s="127"/>
      <c r="F41" s="127"/>
      <c r="G41" s="127"/>
      <c r="H41" s="127"/>
      <c r="I41" s="127"/>
      <c r="J41" s="127"/>
      <c r="K41" s="127"/>
      <c r="L41" s="127"/>
      <c r="M41" s="127"/>
      <c r="N41" s="141"/>
      <c r="P41" s="208"/>
      <c r="Q41" s="208"/>
      <c r="R41" s="208"/>
    </row>
    <row r="42" ht="15" spans="1:18">
      <c r="A42" s="128"/>
      <c r="B42" s="129"/>
      <c r="C42" s="129"/>
      <c r="D42" s="129"/>
      <c r="E42" s="129"/>
      <c r="F42" s="129"/>
      <c r="G42" s="129"/>
      <c r="H42" s="129"/>
      <c r="I42" s="129"/>
      <c r="J42" s="129"/>
      <c r="K42" s="129"/>
      <c r="L42" s="129"/>
      <c r="M42" s="129"/>
      <c r="N42" s="142"/>
      <c r="Q42" s="208"/>
      <c r="R42" s="208"/>
    </row>
    <row r="43" customHeight="1" spans="1:18">
      <c r="A43" s="212" t="s">
        <v>1717</v>
      </c>
      <c r="B43" s="212"/>
      <c r="C43" s="212"/>
      <c r="D43" s="212"/>
      <c r="E43" s="212"/>
      <c r="F43" s="212"/>
      <c r="G43" s="212"/>
      <c r="H43" s="212"/>
      <c r="I43" s="212"/>
      <c r="J43" s="212"/>
      <c r="K43" s="212"/>
      <c r="L43" s="212"/>
      <c r="M43" s="212"/>
      <c r="N43" s="212"/>
      <c r="P43" s="208"/>
      <c r="Q43" s="208"/>
      <c r="R43" s="208"/>
    </row>
    <row r="44" spans="1:18">
      <c r="A44" s="208"/>
      <c r="B44" s="208"/>
      <c r="C44" s="208"/>
      <c r="D44" s="208"/>
      <c r="E44" s="208"/>
      <c r="F44" s="208"/>
      <c r="G44" s="208"/>
      <c r="H44" s="208"/>
      <c r="I44" s="208"/>
      <c r="J44" s="208"/>
      <c r="K44" s="208"/>
      <c r="L44" s="208"/>
      <c r="M44" s="208"/>
      <c r="N44" s="208"/>
      <c r="P44" s="208"/>
      <c r="Q44" s="208"/>
      <c r="R44" s="208"/>
    </row>
    <row r="45" spans="2:18">
      <c r="B45" s="208"/>
      <c r="C45" s="208"/>
      <c r="D45" s="208"/>
      <c r="E45" s="208"/>
      <c r="F45" s="208"/>
      <c r="G45" s="208"/>
      <c r="H45" s="208"/>
      <c r="I45" s="208"/>
      <c r="J45" s="208"/>
      <c r="K45" s="208"/>
      <c r="L45" s="208"/>
      <c r="M45" s="208"/>
      <c r="N45" s="208"/>
      <c r="P45" s="208"/>
      <c r="Q45" s="208"/>
      <c r="R45" s="208"/>
    </row>
    <row r="46" spans="1:18">
      <c r="A46" s="208"/>
      <c r="B46" s="208"/>
      <c r="C46" s="208"/>
      <c r="D46" s="208"/>
      <c r="E46" s="208"/>
      <c r="F46" s="208"/>
      <c r="G46" s="208"/>
      <c r="H46" s="208"/>
      <c r="I46" s="208"/>
      <c r="J46" s="208"/>
      <c r="K46" s="208"/>
      <c r="L46" s="208"/>
      <c r="M46" s="208"/>
      <c r="N46" s="208"/>
      <c r="P46" s="208"/>
      <c r="Q46" s="208"/>
      <c r="R46" s="208"/>
    </row>
    <row r="47" spans="1:18">
      <c r="A47" s="208"/>
      <c r="B47" s="208"/>
      <c r="C47" s="208"/>
      <c r="D47" s="208"/>
      <c r="E47" s="208"/>
      <c r="F47" s="208"/>
      <c r="G47" s="208"/>
      <c r="H47" s="208"/>
      <c r="I47" s="208"/>
      <c r="J47" s="208"/>
      <c r="K47" s="208"/>
      <c r="L47" s="208"/>
      <c r="M47" s="208"/>
      <c r="N47" s="208"/>
      <c r="P47" s="208"/>
      <c r="Q47" s="208"/>
      <c r="R47" s="208"/>
    </row>
    <row r="48" spans="1:18">
      <c r="A48" s="208"/>
      <c r="B48" s="208"/>
      <c r="C48" s="208"/>
      <c r="D48" s="208"/>
      <c r="E48" s="208"/>
      <c r="F48" s="208"/>
      <c r="G48" s="208"/>
      <c r="H48" s="208"/>
      <c r="I48" s="208"/>
      <c r="J48" s="208"/>
      <c r="K48" s="208"/>
      <c r="L48" s="208"/>
      <c r="M48" s="208"/>
      <c r="N48" s="208"/>
      <c r="P48" s="208"/>
      <c r="Q48" s="208"/>
      <c r="R48" s="208"/>
    </row>
    <row r="49" spans="1:18">
      <c r="A49" s="208"/>
      <c r="B49" s="208"/>
      <c r="C49" s="208"/>
      <c r="D49" s="208"/>
      <c r="E49" s="208"/>
      <c r="F49" s="208"/>
      <c r="G49" s="208"/>
      <c r="H49" s="208"/>
      <c r="I49" s="208"/>
      <c r="J49" s="208"/>
      <c r="K49" s="208"/>
      <c r="L49" s="208"/>
      <c r="M49" s="208"/>
      <c r="N49" s="208"/>
      <c r="P49" s="208"/>
      <c r="Q49" s="208"/>
      <c r="R49" s="208"/>
    </row>
    <row r="50" spans="1:18">
      <c r="A50" s="208"/>
      <c r="B50" s="208"/>
      <c r="C50" s="208"/>
      <c r="D50" s="208"/>
      <c r="E50" s="208"/>
      <c r="F50" s="208"/>
      <c r="G50" s="208"/>
      <c r="H50" s="208"/>
      <c r="I50" s="208"/>
      <c r="J50" s="208"/>
      <c r="K50" s="208"/>
      <c r="L50" s="208"/>
      <c r="M50" s="208"/>
      <c r="N50" s="208"/>
      <c r="P50" s="208"/>
      <c r="Q50" s="208"/>
      <c r="R50" s="208"/>
    </row>
    <row r="51" spans="1:18">
      <c r="A51" s="208"/>
      <c r="B51" s="208"/>
      <c r="C51" s="208"/>
      <c r="D51" s="208"/>
      <c r="E51" s="208"/>
      <c r="F51" s="208"/>
      <c r="G51" s="208"/>
      <c r="H51" s="208"/>
      <c r="I51" s="208"/>
      <c r="J51" s="208"/>
      <c r="K51" s="208"/>
      <c r="L51" s="208"/>
      <c r="M51" s="208"/>
      <c r="N51" s="208"/>
      <c r="P51" s="208"/>
      <c r="Q51" s="208"/>
      <c r="R51" s="208"/>
    </row>
    <row r="52" spans="1:18">
      <c r="A52" s="208"/>
      <c r="B52" s="208"/>
      <c r="C52" s="208"/>
      <c r="D52" s="208"/>
      <c r="E52" s="208"/>
      <c r="F52" s="208"/>
      <c r="G52" s="208"/>
      <c r="H52" s="208"/>
      <c r="I52" s="208"/>
      <c r="J52" s="208"/>
      <c r="K52" s="208"/>
      <c r="L52" s="208"/>
      <c r="M52" s="208"/>
      <c r="N52" s="208"/>
      <c r="P52" s="208"/>
      <c r="Q52" s="208"/>
      <c r="R52" s="208"/>
    </row>
    <row r="53" spans="1:18">
      <c r="A53" s="208"/>
      <c r="B53" s="208"/>
      <c r="C53" s="208"/>
      <c r="D53" s="208"/>
      <c r="E53" s="208"/>
      <c r="F53" s="208"/>
      <c r="G53" s="208"/>
      <c r="H53" s="208"/>
      <c r="I53" s="208"/>
      <c r="J53" s="208"/>
      <c r="K53" s="208"/>
      <c r="L53" s="208"/>
      <c r="M53" s="208"/>
      <c r="N53" s="208"/>
      <c r="P53" s="208"/>
      <c r="Q53" s="208"/>
      <c r="R53" s="208"/>
    </row>
    <row r="54" spans="1:18">
      <c r="A54" s="208"/>
      <c r="B54" s="208"/>
      <c r="C54" s="208"/>
      <c r="D54" s="208"/>
      <c r="E54" s="208"/>
      <c r="F54" s="208"/>
      <c r="G54" s="208"/>
      <c r="H54" s="208"/>
      <c r="I54" s="208"/>
      <c r="J54" s="208"/>
      <c r="K54" s="208"/>
      <c r="L54" s="208"/>
      <c r="M54" s="208"/>
      <c r="N54" s="208"/>
      <c r="P54" s="208"/>
      <c r="Q54" s="208"/>
      <c r="R54" s="208"/>
    </row>
    <row r="55" spans="1:18">
      <c r="A55" s="208"/>
      <c r="B55" s="208"/>
      <c r="C55" s="208"/>
      <c r="D55" s="208"/>
      <c r="E55" s="208"/>
      <c r="F55" s="208"/>
      <c r="G55" s="208"/>
      <c r="H55" s="208"/>
      <c r="I55" s="208"/>
      <c r="J55" s="208"/>
      <c r="K55" s="208"/>
      <c r="L55" s="208"/>
      <c r="M55" s="208"/>
      <c r="N55" s="208"/>
      <c r="P55" s="208"/>
      <c r="Q55" s="208"/>
      <c r="R55" s="208"/>
    </row>
    <row r="56" spans="1:18">
      <c r="A56" s="208"/>
      <c r="B56" s="208"/>
      <c r="C56" s="208"/>
      <c r="D56" s="208"/>
      <c r="E56" s="208"/>
      <c r="F56" s="208"/>
      <c r="G56" s="208"/>
      <c r="H56" s="208"/>
      <c r="I56" s="208"/>
      <c r="J56" s="208"/>
      <c r="K56" s="208"/>
      <c r="L56" s="208"/>
      <c r="M56" s="208"/>
      <c r="N56" s="208"/>
      <c r="P56" s="208"/>
      <c r="Q56" s="208"/>
      <c r="R56" s="208"/>
    </row>
    <row r="57" spans="1:18">
      <c r="A57" s="208"/>
      <c r="B57" s="208"/>
      <c r="C57" s="208"/>
      <c r="D57" s="208"/>
      <c r="E57" s="208"/>
      <c r="F57" s="208"/>
      <c r="G57" s="208"/>
      <c r="H57" s="208"/>
      <c r="I57" s="208"/>
      <c r="J57" s="208"/>
      <c r="K57" s="208"/>
      <c r="L57" s="208"/>
      <c r="M57" s="208"/>
      <c r="N57" s="208"/>
      <c r="P57" s="208"/>
      <c r="Q57" s="208"/>
      <c r="R57" s="208"/>
    </row>
    <row r="58" spans="1:18">
      <c r="A58" s="208"/>
      <c r="B58" s="208"/>
      <c r="C58" s="208"/>
      <c r="D58" s="208"/>
      <c r="E58" s="208"/>
      <c r="F58" s="208"/>
      <c r="G58" s="208"/>
      <c r="H58" s="208"/>
      <c r="I58" s="208"/>
      <c r="J58" s="208"/>
      <c r="K58" s="208"/>
      <c r="L58" s="208"/>
      <c r="M58" s="208"/>
      <c r="N58" s="208"/>
      <c r="P58" s="208"/>
      <c r="Q58" s="208"/>
      <c r="R58" s="208"/>
    </row>
    <row r="59" spans="1:18">
      <c r="A59" s="208"/>
      <c r="B59" s="208"/>
      <c r="C59" s="208"/>
      <c r="D59" s="208"/>
      <c r="E59" s="208"/>
      <c r="F59" s="208"/>
      <c r="G59" s="208"/>
      <c r="H59" s="208"/>
      <c r="I59" s="208"/>
      <c r="J59" s="208"/>
      <c r="K59" s="208"/>
      <c r="L59" s="208"/>
      <c r="M59" s="208"/>
      <c r="N59" s="208"/>
      <c r="P59" s="208"/>
      <c r="Q59" s="208"/>
      <c r="R59" s="208"/>
    </row>
    <row r="60" spans="1:18">
      <c r="A60" s="208"/>
      <c r="B60" s="208"/>
      <c r="C60" s="208"/>
      <c r="D60" s="208"/>
      <c r="E60" s="208"/>
      <c r="F60" s="208"/>
      <c r="G60" s="208"/>
      <c r="H60" s="208"/>
      <c r="I60" s="208"/>
      <c r="J60" s="208"/>
      <c r="K60" s="208"/>
      <c r="L60" s="208"/>
      <c r="M60" s="208"/>
      <c r="N60" s="208"/>
      <c r="P60" s="208"/>
      <c r="Q60" s="208"/>
      <c r="R60" s="208"/>
    </row>
    <row r="61" spans="1:18">
      <c r="A61" s="208"/>
      <c r="B61" s="208"/>
      <c r="C61" s="208"/>
      <c r="D61" s="208"/>
      <c r="E61" s="208"/>
      <c r="F61" s="208"/>
      <c r="G61" s="208"/>
      <c r="H61" s="208"/>
      <c r="I61" s="208"/>
      <c r="J61" s="208"/>
      <c r="K61" s="208"/>
      <c r="L61" s="208"/>
      <c r="M61" s="208"/>
      <c r="N61" s="208"/>
      <c r="P61" s="208"/>
      <c r="Q61" s="208"/>
      <c r="R61" s="208"/>
    </row>
    <row r="62" spans="1:18">
      <c r="A62" s="208"/>
      <c r="B62" s="208"/>
      <c r="C62" s="208"/>
      <c r="D62" s="208"/>
      <c r="E62" s="208"/>
      <c r="F62" s="208"/>
      <c r="G62" s="208"/>
      <c r="H62" s="208"/>
      <c r="I62" s="208"/>
      <c r="J62" s="208"/>
      <c r="K62" s="208"/>
      <c r="L62" s="208"/>
      <c r="M62" s="208"/>
      <c r="N62" s="208"/>
      <c r="P62" s="208"/>
      <c r="Q62" s="208"/>
      <c r="R62" s="208"/>
    </row>
    <row r="63" spans="1:18">
      <c r="A63" s="208"/>
      <c r="B63" s="208"/>
      <c r="C63" s="208"/>
      <c r="D63" s="208"/>
      <c r="E63" s="208"/>
      <c r="F63" s="208"/>
      <c r="G63" s="208"/>
      <c r="H63" s="208"/>
      <c r="I63" s="208"/>
      <c r="J63" s="208"/>
      <c r="K63" s="208"/>
      <c r="L63" s="208"/>
      <c r="M63" s="208"/>
      <c r="N63" s="208"/>
      <c r="P63" s="208"/>
      <c r="Q63" s="208"/>
      <c r="R63" s="208"/>
    </row>
    <row r="64" spans="1:18">
      <c r="A64" s="208"/>
      <c r="B64" s="208"/>
      <c r="C64" s="208"/>
      <c r="D64" s="208"/>
      <c r="E64" s="208"/>
      <c r="F64" s="208"/>
      <c r="G64" s="208"/>
      <c r="H64" s="208"/>
      <c r="I64" s="208"/>
      <c r="J64" s="208"/>
      <c r="K64" s="208"/>
      <c r="L64" s="208"/>
      <c r="M64" s="208"/>
      <c r="N64" s="208"/>
      <c r="P64" s="208"/>
      <c r="Q64" s="208"/>
      <c r="R64" s="208"/>
    </row>
    <row r="65" spans="1:18">
      <c r="A65" s="208"/>
      <c r="B65" s="208"/>
      <c r="C65" s="208"/>
      <c r="D65" s="208"/>
      <c r="E65" s="208"/>
      <c r="F65" s="208"/>
      <c r="G65" s="208"/>
      <c r="H65" s="208"/>
      <c r="I65" s="208"/>
      <c r="J65" s="208"/>
      <c r="K65" s="208"/>
      <c r="L65" s="208"/>
      <c r="M65" s="208"/>
      <c r="N65" s="208"/>
      <c r="P65" s="208"/>
      <c r="Q65" s="208"/>
      <c r="R65" s="208"/>
    </row>
    <row r="66" spans="1:18">
      <c r="A66" s="208"/>
      <c r="B66" s="208"/>
      <c r="C66" s="208"/>
      <c r="D66" s="208"/>
      <c r="E66" s="208"/>
      <c r="F66" s="208"/>
      <c r="G66" s="208"/>
      <c r="H66" s="208"/>
      <c r="I66" s="208"/>
      <c r="J66" s="208"/>
      <c r="K66" s="208"/>
      <c r="L66" s="208"/>
      <c r="M66" s="208"/>
      <c r="N66" s="208"/>
      <c r="P66" s="208"/>
      <c r="Q66" s="208"/>
      <c r="R66" s="208"/>
    </row>
    <row r="67" spans="1:18">
      <c r="A67" s="208"/>
      <c r="B67" s="208"/>
      <c r="C67" s="208"/>
      <c r="D67" s="208"/>
      <c r="E67" s="208"/>
      <c r="F67" s="208"/>
      <c r="G67" s="208"/>
      <c r="H67" s="208"/>
      <c r="I67" s="208"/>
      <c r="J67" s="208"/>
      <c r="K67" s="208"/>
      <c r="L67" s="208"/>
      <c r="M67" s="208"/>
      <c r="N67" s="208"/>
      <c r="P67" s="208"/>
      <c r="Q67" s="208"/>
      <c r="R67" s="208"/>
    </row>
    <row r="68" spans="1:18">
      <c r="A68" s="208"/>
      <c r="B68" s="208"/>
      <c r="C68" s="208"/>
      <c r="D68" s="208"/>
      <c r="E68" s="208"/>
      <c r="F68" s="208"/>
      <c r="G68" s="208"/>
      <c r="H68" s="208"/>
      <c r="I68" s="208"/>
      <c r="J68" s="208"/>
      <c r="K68" s="208"/>
      <c r="L68" s="208"/>
      <c r="M68" s="208"/>
      <c r="N68" s="208"/>
      <c r="P68" s="208"/>
      <c r="Q68" s="208"/>
      <c r="R68" s="208"/>
    </row>
    <row r="69" spans="1:18">
      <c r="A69" s="208"/>
      <c r="B69" s="208"/>
      <c r="C69" s="208"/>
      <c r="D69" s="208"/>
      <c r="E69" s="208"/>
      <c r="F69" s="208"/>
      <c r="G69" s="208"/>
      <c r="H69" s="208"/>
      <c r="I69" s="208"/>
      <c r="J69" s="208"/>
      <c r="K69" s="208"/>
      <c r="L69" s="208"/>
      <c r="M69" s="208"/>
      <c r="N69" s="208"/>
      <c r="P69" s="208"/>
      <c r="Q69" s="208"/>
      <c r="R69" s="208"/>
    </row>
    <row r="70" spans="1:18">
      <c r="A70" s="208"/>
      <c r="B70" s="208"/>
      <c r="C70" s="208"/>
      <c r="D70" s="208"/>
      <c r="E70" s="208"/>
      <c r="F70" s="208"/>
      <c r="G70" s="208"/>
      <c r="H70" s="208"/>
      <c r="I70" s="208"/>
      <c r="J70" s="208"/>
      <c r="K70" s="208"/>
      <c r="L70" s="208"/>
      <c r="M70" s="208"/>
      <c r="N70" s="208"/>
      <c r="P70" s="208"/>
      <c r="Q70" s="208"/>
      <c r="R70" s="208"/>
    </row>
    <row r="71" spans="1:18">
      <c r="A71" s="208"/>
      <c r="B71" s="208"/>
      <c r="C71" s="208"/>
      <c r="D71" s="208"/>
      <c r="E71" s="208"/>
      <c r="F71" s="208"/>
      <c r="G71" s="208"/>
      <c r="H71" s="208"/>
      <c r="I71" s="208"/>
      <c r="J71" s="208"/>
      <c r="K71" s="208"/>
      <c r="L71" s="208"/>
      <c r="M71" s="208"/>
      <c r="N71" s="208"/>
      <c r="P71" s="208"/>
      <c r="Q71" s="208"/>
      <c r="R71" s="208"/>
    </row>
    <row r="72" spans="1:18">
      <c r="A72" s="208"/>
      <c r="B72" s="208"/>
      <c r="C72" s="208"/>
      <c r="D72" s="208"/>
      <c r="E72" s="208"/>
      <c r="F72" s="208"/>
      <c r="G72" s="208"/>
      <c r="H72" s="208"/>
      <c r="I72" s="208"/>
      <c r="J72" s="208"/>
      <c r="K72" s="208"/>
      <c r="L72" s="208"/>
      <c r="M72" s="208"/>
      <c r="N72" s="208"/>
      <c r="P72" s="208"/>
      <c r="Q72" s="208"/>
      <c r="R72" s="208"/>
    </row>
    <row r="73" spans="1:18">
      <c r="A73" s="208"/>
      <c r="B73" s="208"/>
      <c r="C73" s="208"/>
      <c r="D73" s="208"/>
      <c r="E73" s="208"/>
      <c r="F73" s="208"/>
      <c r="G73" s="208"/>
      <c r="H73" s="208"/>
      <c r="I73" s="208"/>
      <c r="J73" s="208"/>
      <c r="K73" s="208"/>
      <c r="L73" s="208"/>
      <c r="M73" s="208"/>
      <c r="N73" s="208"/>
      <c r="P73" s="208"/>
      <c r="Q73" s="208"/>
      <c r="R73" s="208"/>
    </row>
    <row r="74" spans="1:18">
      <c r="A74" s="208"/>
      <c r="B74" s="208"/>
      <c r="C74" s="208"/>
      <c r="D74" s="208"/>
      <c r="E74" s="208"/>
      <c r="F74" s="208"/>
      <c r="G74" s="208"/>
      <c r="H74" s="208"/>
      <c r="I74" s="208"/>
      <c r="J74" s="208"/>
      <c r="K74" s="208"/>
      <c r="L74" s="208"/>
      <c r="M74" s="208"/>
      <c r="N74" s="208"/>
      <c r="P74" s="208"/>
      <c r="Q74" s="208"/>
      <c r="R74" s="208"/>
    </row>
  </sheetData>
  <mergeCells count="59">
    <mergeCell ref="A1:N1"/>
    <mergeCell ref="A2:N2"/>
    <mergeCell ref="B6:C6"/>
    <mergeCell ref="K6:N6"/>
    <mergeCell ref="B7:C7"/>
    <mergeCell ref="M7:N7"/>
    <mergeCell ref="B8:D8"/>
    <mergeCell ref="E8:F8"/>
    <mergeCell ref="G8:H8"/>
    <mergeCell ref="M8:N8"/>
    <mergeCell ref="B9:D9"/>
    <mergeCell ref="E9:F9"/>
    <mergeCell ref="G9:H9"/>
    <mergeCell ref="M9:N9"/>
    <mergeCell ref="B10:D10"/>
    <mergeCell ref="E10:F10"/>
    <mergeCell ref="G10:H10"/>
    <mergeCell ref="M10:N10"/>
    <mergeCell ref="B11:D11"/>
    <mergeCell ref="E11:F11"/>
    <mergeCell ref="G11:H11"/>
    <mergeCell ref="M11:N11"/>
    <mergeCell ref="B12:D12"/>
    <mergeCell ref="E12:F12"/>
    <mergeCell ref="G12:H12"/>
    <mergeCell ref="M12:N12"/>
    <mergeCell ref="B13:D13"/>
    <mergeCell ref="E13:F13"/>
    <mergeCell ref="G13:H13"/>
    <mergeCell ref="M13:N13"/>
    <mergeCell ref="B14:D14"/>
    <mergeCell ref="E14:F14"/>
    <mergeCell ref="G14:H14"/>
    <mergeCell ref="M14:N14"/>
    <mergeCell ref="B15:D15"/>
    <mergeCell ref="E15:F15"/>
    <mergeCell ref="G15:H15"/>
    <mergeCell ref="M15:N15"/>
    <mergeCell ref="B16:D16"/>
    <mergeCell ref="E16:F16"/>
    <mergeCell ref="G16:H16"/>
    <mergeCell ref="M16:N16"/>
    <mergeCell ref="B17:D17"/>
    <mergeCell ref="E17:F17"/>
    <mergeCell ref="G17:H17"/>
    <mergeCell ref="M17:N17"/>
    <mergeCell ref="A43:N43"/>
    <mergeCell ref="D6:D7"/>
    <mergeCell ref="F6:F7"/>
    <mergeCell ref="H6:H7"/>
    <mergeCell ref="N3:N4"/>
    <mergeCell ref="J3:K4"/>
    <mergeCell ref="L3:M4"/>
    <mergeCell ref="A33:N34"/>
    <mergeCell ref="A35:N42"/>
    <mergeCell ref="A3:B4"/>
    <mergeCell ref="C3:D4"/>
    <mergeCell ref="E3:F4"/>
    <mergeCell ref="G3:H4"/>
  </mergeCells>
  <hyperlinks>
    <hyperlink ref="A1" location="Catalogue!A1" display="Back"/>
    <hyperlink ref="A1:N1" location="目录!A1" display="Back"/>
  </hyperlinks>
  <pageMargins left="0.7" right="0.7" top="0.75" bottom="0.75" header="0.3" footer="0.3"/>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4"/>
  <sheetViews>
    <sheetView zoomScale="70" zoomScaleNormal="70" workbookViewId="0">
      <selection activeCell="AF13" sqref="AF13"/>
    </sheetView>
  </sheetViews>
  <sheetFormatPr defaultColWidth="10" defaultRowHeight="12.75"/>
  <cols>
    <col min="1" max="1" width="10.5" style="143" customWidth="1"/>
    <col min="2" max="2" width="16.625" style="143" customWidth="1"/>
    <col min="3" max="3" width="2.5" style="143" customWidth="1"/>
    <col min="4" max="4" width="9.5" style="143" customWidth="1"/>
    <col min="5" max="5" width="12.625" style="143" customWidth="1"/>
    <col min="6" max="6" width="2.5" style="143" customWidth="1"/>
    <col min="7" max="7" width="14.75" style="143" customWidth="1"/>
    <col min="8" max="8" width="11.625" style="62" customWidth="1"/>
    <col min="9" max="9" width="10.375" style="62" customWidth="1"/>
    <col min="10" max="41" width="3.125" style="62" customWidth="1"/>
    <col min="42" max="16384" width="10" style="62"/>
  </cols>
  <sheetData>
    <row r="1" ht="15.75" spans="1:11">
      <c r="A1" s="3" t="s">
        <v>880</v>
      </c>
      <c r="B1" s="3"/>
      <c r="C1" s="3"/>
      <c r="D1" s="3"/>
      <c r="E1" s="3"/>
      <c r="F1" s="3"/>
      <c r="G1" s="3"/>
      <c r="H1" s="3"/>
      <c r="I1" s="3"/>
      <c r="J1" s="3"/>
      <c r="K1" s="147"/>
    </row>
    <row r="2" ht="56.1" customHeight="1" spans="1:12">
      <c r="A2" s="65" t="str">
        <f>IF(目录!G2="中文",对照!BA2,IF(目录!G2="English",对照!BB2,对照!BA2))</f>
        <v>冷却时间优化报告
Optimized Cooling Time Report</v>
      </c>
      <c r="B2" s="144"/>
      <c r="C2" s="144"/>
      <c r="D2" s="144"/>
      <c r="E2" s="144"/>
      <c r="F2" s="144"/>
      <c r="G2" s="144"/>
      <c r="H2" s="144"/>
      <c r="I2" s="144"/>
      <c r="J2" s="144"/>
      <c r="K2" s="169"/>
      <c r="L2" s="169"/>
    </row>
    <row r="3" ht="15.95" customHeight="1" spans="1:12">
      <c r="A3" s="145" t="str">
        <f>IF(目录!G2="中文",对照!AU3,IF(目录!G2="English",对照!AV3,对照!AU3))</f>
        <v>优化操作者
Operator</v>
      </c>
      <c r="B3" s="146"/>
      <c r="C3" s="147"/>
      <c r="D3" s="148" t="str">
        <f>IF(目录!G2="中文",对照!AU4,IF(目录!G2="English",对照!AV4,对照!AU4))</f>
        <v>优化日期
Date</v>
      </c>
      <c r="E3" s="149"/>
      <c r="F3" s="147"/>
      <c r="G3" s="150" t="str">
        <f>IF(目录!G2="中文",对照!BA3,IF(目录!G2="English",对照!BB3,对照!BA3))</f>
        <v>优化冷却时间
Optimized Cooling Time</v>
      </c>
      <c r="H3" s="145"/>
      <c r="I3" s="170"/>
      <c r="J3" s="171" t="s">
        <v>894</v>
      </c>
      <c r="K3" s="147"/>
      <c r="L3" s="172"/>
    </row>
    <row r="4" ht="15.95" customHeight="1" spans="1:12">
      <c r="A4" s="145"/>
      <c r="B4" s="151"/>
      <c r="C4" s="147"/>
      <c r="D4" s="148"/>
      <c r="E4" s="152"/>
      <c r="F4" s="147"/>
      <c r="G4" s="150"/>
      <c r="H4" s="145"/>
      <c r="I4" s="173"/>
      <c r="J4" s="171"/>
      <c r="K4" s="147"/>
      <c r="L4" s="172"/>
    </row>
    <row r="5" ht="15.95" customHeight="1" spans="1:12">
      <c r="A5" s="147"/>
      <c r="B5" s="147"/>
      <c r="C5" s="147"/>
      <c r="D5" s="147"/>
      <c r="E5" s="147"/>
      <c r="F5" s="147"/>
      <c r="G5" s="147"/>
      <c r="H5" s="147"/>
      <c r="I5" s="147"/>
      <c r="J5" s="147"/>
      <c r="K5" s="174"/>
      <c r="L5" s="147"/>
    </row>
    <row r="6" ht="15.95" customHeight="1" spans="1:12">
      <c r="A6" s="153" t="str">
        <f>IF(目录!G2="中文",对照!AU6,IF(目录!G2="English",对照!AV6,对照!AU6))</f>
        <v>序号
Item</v>
      </c>
      <c r="B6" s="154" t="str">
        <f>IF(目录!G2="中文",对照!AX7,IF(目录!G2="English",对照!AY7,对照!AX7))</f>
        <v>冷却时间 (s)
Cooling time (s)</v>
      </c>
      <c r="C6" s="154" t="str">
        <f>IF(目录!G2="中文",对照!BA4,IF(目录!G2="English",对照!BB4,对照!BA4))</f>
        <v>外观描述
Appearance description</v>
      </c>
      <c r="D6" s="154"/>
      <c r="E6" s="154"/>
      <c r="F6" s="154"/>
      <c r="G6" s="155" t="s">
        <v>1764</v>
      </c>
      <c r="H6" s="155" t="s">
        <v>1765</v>
      </c>
      <c r="I6" s="155" t="s">
        <v>1766</v>
      </c>
      <c r="J6" s="175"/>
      <c r="K6" s="174"/>
      <c r="L6" s="147"/>
    </row>
    <row r="7" ht="15.95" customHeight="1" spans="1:12">
      <c r="A7" s="156"/>
      <c r="B7" s="157"/>
      <c r="C7" s="157"/>
      <c r="D7" s="157"/>
      <c r="E7" s="157"/>
      <c r="F7" s="157"/>
      <c r="G7" s="158"/>
      <c r="H7" s="158"/>
      <c r="I7" s="158"/>
      <c r="J7" s="176"/>
      <c r="K7" s="147"/>
      <c r="L7" s="147"/>
    </row>
    <row r="8" ht="24" customHeight="1" spans="1:12">
      <c r="A8" s="159" t="s">
        <v>1748</v>
      </c>
      <c r="B8" s="160"/>
      <c r="C8" s="160"/>
      <c r="D8" s="160"/>
      <c r="E8" s="160"/>
      <c r="F8" s="160"/>
      <c r="G8" s="160"/>
      <c r="H8" s="161"/>
      <c r="I8" s="160"/>
      <c r="J8" s="177"/>
      <c r="K8" s="147"/>
      <c r="L8" s="147"/>
    </row>
    <row r="9" ht="24" customHeight="1" spans="1:12">
      <c r="A9" s="159" t="s">
        <v>1749</v>
      </c>
      <c r="B9" s="160"/>
      <c r="C9" s="160"/>
      <c r="D9" s="160"/>
      <c r="E9" s="160"/>
      <c r="F9" s="160"/>
      <c r="G9" s="160"/>
      <c r="H9" s="161"/>
      <c r="I9" s="160"/>
      <c r="J9" s="177"/>
      <c r="K9" s="147"/>
      <c r="L9" s="147"/>
    </row>
    <row r="10" ht="24" customHeight="1" spans="1:12">
      <c r="A10" s="159" t="s">
        <v>1750</v>
      </c>
      <c r="B10" s="160"/>
      <c r="C10" s="160"/>
      <c r="D10" s="160"/>
      <c r="E10" s="160"/>
      <c r="F10" s="160"/>
      <c r="G10" s="160"/>
      <c r="H10" s="161"/>
      <c r="I10" s="160"/>
      <c r="J10" s="177"/>
      <c r="K10" s="147"/>
      <c r="L10" s="147"/>
    </row>
    <row r="11" ht="24" customHeight="1" spans="1:12">
      <c r="A11" s="159" t="s">
        <v>1751</v>
      </c>
      <c r="B11" s="160"/>
      <c r="C11" s="160"/>
      <c r="D11" s="160"/>
      <c r="E11" s="160"/>
      <c r="F11" s="160"/>
      <c r="G11" s="160"/>
      <c r="H11" s="161"/>
      <c r="I11" s="160"/>
      <c r="J11" s="177"/>
      <c r="K11" s="147"/>
      <c r="L11" s="147"/>
    </row>
    <row r="12" ht="24" customHeight="1" spans="1:12">
      <c r="A12" s="159" t="s">
        <v>1752</v>
      </c>
      <c r="B12" s="160"/>
      <c r="C12" s="160"/>
      <c r="D12" s="160"/>
      <c r="E12" s="160"/>
      <c r="F12" s="160"/>
      <c r="G12" s="160"/>
      <c r="H12" s="161"/>
      <c r="I12" s="160"/>
      <c r="J12" s="177"/>
      <c r="K12" s="147"/>
      <c r="L12" s="147"/>
    </row>
    <row r="13" ht="24" customHeight="1" spans="1:12">
      <c r="A13" s="159" t="s">
        <v>1753</v>
      </c>
      <c r="B13" s="160"/>
      <c r="C13" s="160"/>
      <c r="D13" s="160"/>
      <c r="E13" s="160"/>
      <c r="F13" s="160"/>
      <c r="G13" s="160"/>
      <c r="H13" s="161"/>
      <c r="I13" s="160"/>
      <c r="J13" s="177"/>
      <c r="K13" s="147"/>
      <c r="L13" s="147"/>
    </row>
    <row r="14" ht="24" customHeight="1" spans="1:14">
      <c r="A14" s="159" t="s">
        <v>1754</v>
      </c>
      <c r="B14" s="160"/>
      <c r="C14" s="160"/>
      <c r="D14" s="160"/>
      <c r="E14" s="160"/>
      <c r="F14" s="160"/>
      <c r="G14" s="160"/>
      <c r="H14" s="161"/>
      <c r="I14" s="160"/>
      <c r="J14" s="177"/>
      <c r="K14" s="147"/>
      <c r="L14" s="147"/>
      <c r="N14" s="178"/>
    </row>
    <row r="15" ht="24" customHeight="1" spans="1:12">
      <c r="A15" s="159" t="s">
        <v>1755</v>
      </c>
      <c r="B15" s="160"/>
      <c r="C15" s="160"/>
      <c r="D15" s="160"/>
      <c r="E15" s="160"/>
      <c r="F15" s="160"/>
      <c r="G15" s="160"/>
      <c r="H15" s="161"/>
      <c r="I15" s="160"/>
      <c r="J15" s="177"/>
      <c r="K15" s="147"/>
      <c r="L15" s="147"/>
    </row>
    <row r="16" ht="24" customHeight="1" spans="1:12">
      <c r="A16" s="159" t="s">
        <v>1756</v>
      </c>
      <c r="B16" s="160"/>
      <c r="C16" s="160"/>
      <c r="D16" s="160"/>
      <c r="E16" s="160"/>
      <c r="F16" s="160"/>
      <c r="G16" s="160"/>
      <c r="H16" s="161"/>
      <c r="I16" s="160"/>
      <c r="J16" s="177"/>
      <c r="K16" s="147"/>
      <c r="L16" s="147"/>
    </row>
    <row r="17" ht="24" customHeight="1" spans="1:12">
      <c r="A17" s="162" t="s">
        <v>1757</v>
      </c>
      <c r="B17" s="163"/>
      <c r="C17" s="163"/>
      <c r="D17" s="163"/>
      <c r="E17" s="163"/>
      <c r="F17" s="163"/>
      <c r="G17" s="163"/>
      <c r="H17" s="164"/>
      <c r="I17" s="163"/>
      <c r="J17" s="179"/>
      <c r="K17" s="147"/>
      <c r="L17" s="147"/>
    </row>
    <row r="18" ht="15.95" customHeight="1" spans="1:12">
      <c r="A18" s="165"/>
      <c r="B18" s="165"/>
      <c r="C18" s="165"/>
      <c r="D18" s="165"/>
      <c r="E18" s="165"/>
      <c r="F18" s="165"/>
      <c r="G18" s="165"/>
      <c r="H18" s="165"/>
      <c r="I18" s="165"/>
      <c r="J18" s="165"/>
      <c r="K18" s="147"/>
      <c r="L18" s="147"/>
    </row>
    <row r="19" ht="15.95" customHeight="1" spans="1:12">
      <c r="A19" s="122" t="s">
        <v>1767</v>
      </c>
      <c r="B19" s="166"/>
      <c r="C19" s="166"/>
      <c r="D19" s="166"/>
      <c r="E19" s="166"/>
      <c r="F19" s="166"/>
      <c r="G19" s="166"/>
      <c r="H19" s="166"/>
      <c r="I19" s="166"/>
      <c r="J19" s="166"/>
      <c r="K19" s="147"/>
      <c r="L19" s="147"/>
    </row>
    <row r="20" ht="15.95" customHeight="1" spans="1:12">
      <c r="A20" s="167"/>
      <c r="B20" s="167"/>
      <c r="C20" s="167"/>
      <c r="D20" s="167"/>
      <c r="E20" s="167"/>
      <c r="F20" s="167"/>
      <c r="G20" s="167"/>
      <c r="H20" s="167"/>
      <c r="I20" s="167"/>
      <c r="J20" s="167"/>
      <c r="K20" s="147"/>
      <c r="L20" s="147"/>
    </row>
    <row r="21" ht="15.95" customHeight="1" spans="1:12">
      <c r="A21" s="124"/>
      <c r="B21" s="125"/>
      <c r="C21" s="125"/>
      <c r="D21" s="125"/>
      <c r="E21" s="125"/>
      <c r="F21" s="125"/>
      <c r="G21" s="125"/>
      <c r="H21" s="125"/>
      <c r="I21" s="125"/>
      <c r="J21" s="140"/>
      <c r="K21" s="147"/>
      <c r="L21" s="147"/>
    </row>
    <row r="22" ht="15.95" customHeight="1" spans="1:12">
      <c r="A22" s="126"/>
      <c r="B22" s="127"/>
      <c r="C22" s="127"/>
      <c r="D22" s="127"/>
      <c r="E22" s="127"/>
      <c r="F22" s="127"/>
      <c r="G22" s="127"/>
      <c r="H22" s="127"/>
      <c r="I22" s="127"/>
      <c r="J22" s="141"/>
      <c r="K22" s="147"/>
      <c r="L22" s="147"/>
    </row>
    <row r="23" ht="15.95" customHeight="1" spans="1:12">
      <c r="A23" s="126"/>
      <c r="B23" s="127"/>
      <c r="C23" s="127"/>
      <c r="D23" s="127"/>
      <c r="E23" s="127"/>
      <c r="F23" s="127"/>
      <c r="G23" s="127"/>
      <c r="H23" s="127"/>
      <c r="I23" s="127"/>
      <c r="J23" s="141"/>
      <c r="K23" s="147"/>
      <c r="L23" s="147"/>
    </row>
    <row r="24" ht="15.95" customHeight="1" spans="1:12">
      <c r="A24" s="126"/>
      <c r="B24" s="127"/>
      <c r="C24" s="127"/>
      <c r="D24" s="127"/>
      <c r="E24" s="127"/>
      <c r="F24" s="127"/>
      <c r="G24" s="127"/>
      <c r="H24" s="127"/>
      <c r="I24" s="127"/>
      <c r="J24" s="141"/>
      <c r="K24" s="147"/>
      <c r="L24" s="147"/>
    </row>
    <row r="25" ht="15.95" customHeight="1" spans="1:12">
      <c r="A25" s="126"/>
      <c r="B25" s="127"/>
      <c r="C25" s="127"/>
      <c r="D25" s="127"/>
      <c r="E25" s="127"/>
      <c r="F25" s="127"/>
      <c r="G25" s="127"/>
      <c r="H25" s="127"/>
      <c r="I25" s="127"/>
      <c r="J25" s="141"/>
      <c r="K25" s="147"/>
      <c r="L25" s="147"/>
    </row>
    <row r="26" ht="15.95" customHeight="1" spans="1:12">
      <c r="A26" s="126"/>
      <c r="B26" s="127"/>
      <c r="C26" s="127"/>
      <c r="D26" s="127"/>
      <c r="E26" s="127"/>
      <c r="F26" s="127"/>
      <c r="G26" s="127"/>
      <c r="H26" s="127"/>
      <c r="I26" s="127"/>
      <c r="J26" s="141"/>
      <c r="K26" s="147"/>
      <c r="L26" s="147"/>
    </row>
    <row r="27" ht="15.95" customHeight="1" spans="1:12">
      <c r="A27" s="126"/>
      <c r="B27" s="127"/>
      <c r="C27" s="127"/>
      <c r="D27" s="127"/>
      <c r="E27" s="127"/>
      <c r="F27" s="127"/>
      <c r="G27" s="127"/>
      <c r="H27" s="127"/>
      <c r="I27" s="127"/>
      <c r="J27" s="141"/>
      <c r="K27" s="147"/>
      <c r="L27" s="147"/>
    </row>
    <row r="28" ht="15.95" customHeight="1" spans="1:12">
      <c r="A28" s="128"/>
      <c r="B28" s="129"/>
      <c r="C28" s="129"/>
      <c r="D28" s="129"/>
      <c r="E28" s="129"/>
      <c r="F28" s="129"/>
      <c r="G28" s="129"/>
      <c r="H28" s="129"/>
      <c r="I28" s="129"/>
      <c r="J28" s="142"/>
      <c r="K28" s="147"/>
      <c r="L28" s="147"/>
    </row>
    <row r="29" ht="15.95" customHeight="1" spans="1:11">
      <c r="A29" s="168" t="s">
        <v>1717</v>
      </c>
      <c r="B29" s="168"/>
      <c r="C29" s="168"/>
      <c r="D29" s="168"/>
      <c r="E29" s="168"/>
      <c r="F29" s="168"/>
      <c r="G29" s="168"/>
      <c r="H29" s="168"/>
      <c r="I29" s="168"/>
      <c r="J29" s="168"/>
      <c r="K29" s="147"/>
    </row>
    <row r="30" ht="15.95" customHeight="1" spans="1:12">
      <c r="A30" s="165"/>
      <c r="B30" s="165"/>
      <c r="C30" s="165"/>
      <c r="D30" s="165"/>
      <c r="E30" s="165"/>
      <c r="F30" s="165"/>
      <c r="G30" s="165"/>
      <c r="H30" s="147"/>
      <c r="I30" s="147"/>
      <c r="J30" s="147"/>
      <c r="K30" s="147"/>
      <c r="L30" s="147"/>
    </row>
    <row r="31" spans="1:12">
      <c r="A31" s="165"/>
      <c r="E31" s="165"/>
      <c r="F31" s="165"/>
      <c r="G31" s="165"/>
      <c r="H31" s="147"/>
      <c r="I31" s="147"/>
      <c r="J31" s="147"/>
      <c r="K31" s="147"/>
      <c r="L31" s="147"/>
    </row>
    <row r="32" spans="1:12">
      <c r="A32" s="165"/>
      <c r="E32" s="165"/>
      <c r="F32" s="165"/>
      <c r="G32" s="165"/>
      <c r="H32" s="147"/>
      <c r="I32" s="147"/>
      <c r="J32" s="147"/>
      <c r="K32" s="147"/>
      <c r="L32" s="147"/>
    </row>
    <row r="33" spans="1:12">
      <c r="A33" s="165"/>
      <c r="E33" s="165"/>
      <c r="F33" s="165"/>
      <c r="G33" s="165"/>
      <c r="H33" s="147"/>
      <c r="I33" s="147"/>
      <c r="J33" s="147"/>
      <c r="K33" s="147"/>
      <c r="L33" s="147"/>
    </row>
    <row r="34" spans="1:12">
      <c r="A34" s="165"/>
      <c r="B34" s="165"/>
      <c r="C34" s="165"/>
      <c r="D34" s="165"/>
      <c r="E34" s="165"/>
      <c r="F34" s="165"/>
      <c r="G34" s="165"/>
      <c r="H34" s="147"/>
      <c r="I34" s="147"/>
      <c r="J34" s="147"/>
      <c r="K34" s="147"/>
      <c r="L34" s="147"/>
    </row>
    <row r="35" spans="1:12">
      <c r="A35" s="165"/>
      <c r="B35" s="165"/>
      <c r="C35" s="165"/>
      <c r="D35" s="165"/>
      <c r="E35" s="165"/>
      <c r="F35" s="165"/>
      <c r="G35" s="165"/>
      <c r="H35" s="147"/>
      <c r="I35" s="147"/>
      <c r="J35" s="147"/>
      <c r="K35" s="147"/>
      <c r="L35" s="147"/>
    </row>
    <row r="36" spans="1:12">
      <c r="A36" s="165"/>
      <c r="B36" s="165"/>
      <c r="C36" s="165"/>
      <c r="D36" s="165"/>
      <c r="E36" s="165"/>
      <c r="F36" s="165"/>
      <c r="G36" s="165"/>
      <c r="H36" s="147"/>
      <c r="I36" s="147"/>
      <c r="J36" s="147"/>
      <c r="K36" s="147"/>
      <c r="L36" s="147"/>
    </row>
    <row r="37" spans="1:12">
      <c r="A37" s="165"/>
      <c r="B37" s="165"/>
      <c r="C37" s="165"/>
      <c r="D37" s="165"/>
      <c r="E37" s="165"/>
      <c r="F37" s="165"/>
      <c r="G37" s="165"/>
      <c r="H37" s="147"/>
      <c r="I37" s="147"/>
      <c r="J37" s="147"/>
      <c r="K37" s="147"/>
      <c r="L37" s="147"/>
    </row>
    <row r="38" spans="1:12">
      <c r="A38" s="165"/>
      <c r="B38" s="165"/>
      <c r="C38" s="165"/>
      <c r="D38" s="165"/>
      <c r="E38" s="165"/>
      <c r="F38" s="165"/>
      <c r="G38" s="165"/>
      <c r="H38" s="147"/>
      <c r="I38" s="147"/>
      <c r="J38" s="147"/>
      <c r="K38" s="147"/>
      <c r="L38" s="147"/>
    </row>
    <row r="39" spans="1:12">
      <c r="A39" s="165"/>
      <c r="B39" s="165"/>
      <c r="C39" s="165"/>
      <c r="D39" s="165"/>
      <c r="E39" s="165"/>
      <c r="F39" s="165"/>
      <c r="G39" s="165"/>
      <c r="H39" s="147"/>
      <c r="I39" s="147"/>
      <c r="J39" s="147"/>
      <c r="K39" s="147"/>
      <c r="L39" s="147"/>
    </row>
    <row r="40" ht="14.25" customHeight="1" spans="1:12">
      <c r="A40" s="165"/>
      <c r="B40" s="165"/>
      <c r="C40" s="165"/>
      <c r="D40" s="165"/>
      <c r="E40" s="165"/>
      <c r="F40" s="165"/>
      <c r="G40" s="165"/>
      <c r="H40" s="147"/>
      <c r="I40" s="147"/>
      <c r="J40" s="147"/>
      <c r="K40" s="147"/>
      <c r="L40" s="147"/>
    </row>
    <row r="41" spans="1:12">
      <c r="A41" s="165"/>
      <c r="B41" s="165"/>
      <c r="C41" s="165"/>
      <c r="D41" s="165"/>
      <c r="E41" s="165"/>
      <c r="F41" s="165"/>
      <c r="G41" s="165"/>
      <c r="H41" s="147"/>
      <c r="I41" s="147"/>
      <c r="J41" s="147"/>
      <c r="K41" s="147"/>
      <c r="L41" s="147"/>
    </row>
    <row r="42" spans="1:12">
      <c r="A42" s="165"/>
      <c r="B42" s="165"/>
      <c r="C42" s="165"/>
      <c r="D42" s="165"/>
      <c r="E42" s="165"/>
      <c r="F42" s="165"/>
      <c r="G42" s="165"/>
      <c r="H42" s="147"/>
      <c r="I42" s="147"/>
      <c r="J42" s="147"/>
      <c r="K42" s="147"/>
      <c r="L42" s="147"/>
    </row>
    <row r="43" spans="1:12">
      <c r="A43" s="165"/>
      <c r="B43" s="165"/>
      <c r="C43" s="165"/>
      <c r="D43" s="165"/>
      <c r="E43" s="165"/>
      <c r="F43" s="165"/>
      <c r="G43" s="165"/>
      <c r="H43" s="147"/>
      <c r="I43" s="147"/>
      <c r="J43" s="147"/>
      <c r="K43" s="147"/>
      <c r="L43" s="147"/>
    </row>
    <row r="44" spans="1:12">
      <c r="A44" s="165"/>
      <c r="B44" s="165"/>
      <c r="C44" s="165"/>
      <c r="D44" s="165"/>
      <c r="E44" s="165"/>
      <c r="F44" s="165"/>
      <c r="G44" s="165"/>
      <c r="H44" s="147"/>
      <c r="I44" s="147"/>
      <c r="J44" s="147"/>
      <c r="K44" s="147"/>
      <c r="L44" s="147"/>
    </row>
  </sheetData>
  <mergeCells count="38">
    <mergeCell ref="A1:J1"/>
    <mergeCell ref="A2:J2"/>
    <mergeCell ref="C8:F8"/>
    <mergeCell ref="I8:J8"/>
    <mergeCell ref="C9:F9"/>
    <mergeCell ref="I9:J9"/>
    <mergeCell ref="C10:F10"/>
    <mergeCell ref="I10:J10"/>
    <mergeCell ref="C11:F11"/>
    <mergeCell ref="I11:J11"/>
    <mergeCell ref="C12:F12"/>
    <mergeCell ref="I12:J12"/>
    <mergeCell ref="C13:F13"/>
    <mergeCell ref="I13:J13"/>
    <mergeCell ref="C14:F14"/>
    <mergeCell ref="I14:J14"/>
    <mergeCell ref="C15:F15"/>
    <mergeCell ref="I15:J15"/>
    <mergeCell ref="C16:F16"/>
    <mergeCell ref="I16:J16"/>
    <mergeCell ref="C17:F17"/>
    <mergeCell ref="I17:J17"/>
    <mergeCell ref="A29:J29"/>
    <mergeCell ref="A3:A4"/>
    <mergeCell ref="A6:A7"/>
    <mergeCell ref="B3:B4"/>
    <mergeCell ref="B6:B7"/>
    <mergeCell ref="D3:D4"/>
    <mergeCell ref="E3:E4"/>
    <mergeCell ref="G6:G7"/>
    <mergeCell ref="H6:H7"/>
    <mergeCell ref="I3:I4"/>
    <mergeCell ref="J3:J4"/>
    <mergeCell ref="A19:J20"/>
    <mergeCell ref="A21:J28"/>
    <mergeCell ref="G3:H4"/>
    <mergeCell ref="C6:F7"/>
    <mergeCell ref="I6:J7"/>
  </mergeCells>
  <hyperlinks>
    <hyperlink ref="A1" location="Catalogue!A1" display="Back"/>
    <hyperlink ref="A1:J1" location="目录!A1" display="Back"/>
  </hyperlink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1"/>
  <sheetViews>
    <sheetView zoomScale="70" zoomScaleNormal="70" workbookViewId="0">
      <selection activeCell="A1" sqref="A1:I1"/>
    </sheetView>
  </sheetViews>
  <sheetFormatPr defaultColWidth="10" defaultRowHeight="12.75"/>
  <cols>
    <col min="1" max="1" width="10.125" style="63" customWidth="1"/>
    <col min="2" max="2" width="14.625" style="63" customWidth="1"/>
    <col min="3" max="3" width="16.625" style="63" customWidth="1"/>
    <col min="4" max="5" width="8.625" style="63" customWidth="1"/>
    <col min="6" max="6" width="8.625" style="64" customWidth="1"/>
    <col min="7" max="7" width="10.625" style="64" customWidth="1"/>
    <col min="8" max="9" width="8.5" style="64" customWidth="1"/>
    <col min="10" max="10" width="9.625" style="64" customWidth="1"/>
    <col min="11" max="25" width="3.125" style="64" customWidth="1"/>
    <col min="26" max="26" width="2.75" style="64" customWidth="1"/>
    <col min="27" max="39" width="3.125" style="64" customWidth="1"/>
    <col min="40" max="254" width="10" style="64"/>
    <col min="255" max="255" width="1.5" style="64" customWidth="1"/>
    <col min="256" max="256" width="9.375" style="64" customWidth="1"/>
    <col min="257" max="257" width="11" style="64" customWidth="1"/>
    <col min="258" max="258" width="9.5" style="64" customWidth="1"/>
    <col min="259" max="259" width="11.5" style="64" customWidth="1"/>
    <col min="260" max="260" width="10.125" style="64" customWidth="1"/>
    <col min="261" max="261" width="4.375" style="64" customWidth="1"/>
    <col min="262" max="262" width="9.5" style="64" customWidth="1"/>
    <col min="263" max="263" width="9" style="64" customWidth="1"/>
    <col min="264" max="264" width="10" style="64" customWidth="1"/>
    <col min="265" max="265" width="9.375" style="64" customWidth="1"/>
    <col min="266" max="266" width="1.5" style="64" customWidth="1"/>
    <col min="267" max="295" width="3.125" style="64" customWidth="1"/>
    <col min="296" max="510" width="10" style="64"/>
    <col min="511" max="511" width="1.5" style="64" customWidth="1"/>
    <col min="512" max="512" width="9.375" style="64" customWidth="1"/>
    <col min="513" max="513" width="11" style="64" customWidth="1"/>
    <col min="514" max="514" width="9.5" style="64" customWidth="1"/>
    <col min="515" max="515" width="11.5" style="64" customWidth="1"/>
    <col min="516" max="516" width="10.125" style="64" customWidth="1"/>
    <col min="517" max="517" width="4.375" style="64" customWidth="1"/>
    <col min="518" max="518" width="9.5" style="64" customWidth="1"/>
    <col min="519" max="519" width="9" style="64" customWidth="1"/>
    <col min="520" max="520" width="10" style="64" customWidth="1"/>
    <col min="521" max="521" width="9.375" style="64" customWidth="1"/>
    <col min="522" max="522" width="1.5" style="64" customWidth="1"/>
    <col min="523" max="551" width="3.125" style="64" customWidth="1"/>
    <col min="552" max="766" width="10" style="64"/>
    <col min="767" max="767" width="1.5" style="64" customWidth="1"/>
    <col min="768" max="768" width="9.375" style="64" customWidth="1"/>
    <col min="769" max="769" width="11" style="64" customWidth="1"/>
    <col min="770" max="770" width="9.5" style="64" customWidth="1"/>
    <col min="771" max="771" width="11.5" style="64" customWidth="1"/>
    <col min="772" max="772" width="10.125" style="64" customWidth="1"/>
    <col min="773" max="773" width="4.375" style="64" customWidth="1"/>
    <col min="774" max="774" width="9.5" style="64" customWidth="1"/>
    <col min="775" max="775" width="9" style="64" customWidth="1"/>
    <col min="776" max="776" width="10" style="64" customWidth="1"/>
    <col min="777" max="777" width="9.375" style="64" customWidth="1"/>
    <col min="778" max="778" width="1.5" style="64" customWidth="1"/>
    <col min="779" max="807" width="3.125" style="64" customWidth="1"/>
    <col min="808" max="1022" width="10" style="64"/>
    <col min="1023" max="1023" width="1.5" style="64" customWidth="1"/>
    <col min="1024" max="1024" width="9.375" style="64" customWidth="1"/>
    <col min="1025" max="1025" width="11" style="64" customWidth="1"/>
    <col min="1026" max="1026" width="9.5" style="64" customWidth="1"/>
    <col min="1027" max="1027" width="11.5" style="64" customWidth="1"/>
    <col min="1028" max="1028" width="10.125" style="64" customWidth="1"/>
    <col min="1029" max="1029" width="4.375" style="64" customWidth="1"/>
    <col min="1030" max="1030" width="9.5" style="64" customWidth="1"/>
    <col min="1031" max="1031" width="9" style="64" customWidth="1"/>
    <col min="1032" max="1032" width="10" style="64" customWidth="1"/>
    <col min="1033" max="1033" width="9.375" style="64" customWidth="1"/>
    <col min="1034" max="1034" width="1.5" style="64" customWidth="1"/>
    <col min="1035" max="1063" width="3.125" style="64" customWidth="1"/>
    <col min="1064" max="1278" width="10" style="64"/>
    <col min="1279" max="1279" width="1.5" style="64" customWidth="1"/>
    <col min="1280" max="1280" width="9.375" style="64" customWidth="1"/>
    <col min="1281" max="1281" width="11" style="64" customWidth="1"/>
    <col min="1282" max="1282" width="9.5" style="64" customWidth="1"/>
    <col min="1283" max="1283" width="11.5" style="64" customWidth="1"/>
    <col min="1284" max="1284" width="10.125" style="64" customWidth="1"/>
    <col min="1285" max="1285" width="4.375" style="64" customWidth="1"/>
    <col min="1286" max="1286" width="9.5" style="64" customWidth="1"/>
    <col min="1287" max="1287" width="9" style="64" customWidth="1"/>
    <col min="1288" max="1288" width="10" style="64" customWidth="1"/>
    <col min="1289" max="1289" width="9.375" style="64" customWidth="1"/>
    <col min="1290" max="1290" width="1.5" style="64" customWidth="1"/>
    <col min="1291" max="1319" width="3.125" style="64" customWidth="1"/>
    <col min="1320" max="1534" width="10" style="64"/>
    <col min="1535" max="1535" width="1.5" style="64" customWidth="1"/>
    <col min="1536" max="1536" width="9.375" style="64" customWidth="1"/>
    <col min="1537" max="1537" width="11" style="64" customWidth="1"/>
    <col min="1538" max="1538" width="9.5" style="64" customWidth="1"/>
    <col min="1539" max="1539" width="11.5" style="64" customWidth="1"/>
    <col min="1540" max="1540" width="10.125" style="64" customWidth="1"/>
    <col min="1541" max="1541" width="4.375" style="64" customWidth="1"/>
    <col min="1542" max="1542" width="9.5" style="64" customWidth="1"/>
    <col min="1543" max="1543" width="9" style="64" customWidth="1"/>
    <col min="1544" max="1544" width="10" style="64" customWidth="1"/>
    <col min="1545" max="1545" width="9.375" style="64" customWidth="1"/>
    <col min="1546" max="1546" width="1.5" style="64" customWidth="1"/>
    <col min="1547" max="1575" width="3.125" style="64" customWidth="1"/>
    <col min="1576" max="1790" width="10" style="64"/>
    <col min="1791" max="1791" width="1.5" style="64" customWidth="1"/>
    <col min="1792" max="1792" width="9.375" style="64" customWidth="1"/>
    <col min="1793" max="1793" width="11" style="64" customWidth="1"/>
    <col min="1794" max="1794" width="9.5" style="64" customWidth="1"/>
    <col min="1795" max="1795" width="11.5" style="64" customWidth="1"/>
    <col min="1796" max="1796" width="10.125" style="64" customWidth="1"/>
    <col min="1797" max="1797" width="4.375" style="64" customWidth="1"/>
    <col min="1798" max="1798" width="9.5" style="64" customWidth="1"/>
    <col min="1799" max="1799" width="9" style="64" customWidth="1"/>
    <col min="1800" max="1800" width="10" style="64" customWidth="1"/>
    <col min="1801" max="1801" width="9.375" style="64" customWidth="1"/>
    <col min="1802" max="1802" width="1.5" style="64" customWidth="1"/>
    <col min="1803" max="1831" width="3.125" style="64" customWidth="1"/>
    <col min="1832" max="2046" width="10" style="64"/>
    <col min="2047" max="2047" width="1.5" style="64" customWidth="1"/>
    <col min="2048" max="2048" width="9.375" style="64" customWidth="1"/>
    <col min="2049" max="2049" width="11" style="64" customWidth="1"/>
    <col min="2050" max="2050" width="9.5" style="64" customWidth="1"/>
    <col min="2051" max="2051" width="11.5" style="64" customWidth="1"/>
    <col min="2052" max="2052" width="10.125" style="64" customWidth="1"/>
    <col min="2053" max="2053" width="4.375" style="64" customWidth="1"/>
    <col min="2054" max="2054" width="9.5" style="64" customWidth="1"/>
    <col min="2055" max="2055" width="9" style="64" customWidth="1"/>
    <col min="2056" max="2056" width="10" style="64" customWidth="1"/>
    <col min="2057" max="2057" width="9.375" style="64" customWidth="1"/>
    <col min="2058" max="2058" width="1.5" style="64" customWidth="1"/>
    <col min="2059" max="2087" width="3.125" style="64" customWidth="1"/>
    <col min="2088" max="2302" width="10" style="64"/>
    <col min="2303" max="2303" width="1.5" style="64" customWidth="1"/>
    <col min="2304" max="2304" width="9.375" style="64" customWidth="1"/>
    <col min="2305" max="2305" width="11" style="64" customWidth="1"/>
    <col min="2306" max="2306" width="9.5" style="64" customWidth="1"/>
    <col min="2307" max="2307" width="11.5" style="64" customWidth="1"/>
    <col min="2308" max="2308" width="10.125" style="64" customWidth="1"/>
    <col min="2309" max="2309" width="4.375" style="64" customWidth="1"/>
    <col min="2310" max="2310" width="9.5" style="64" customWidth="1"/>
    <col min="2311" max="2311" width="9" style="64" customWidth="1"/>
    <col min="2312" max="2312" width="10" style="64" customWidth="1"/>
    <col min="2313" max="2313" width="9.375" style="64" customWidth="1"/>
    <col min="2314" max="2314" width="1.5" style="64" customWidth="1"/>
    <col min="2315" max="2343" width="3.125" style="64" customWidth="1"/>
    <col min="2344" max="2558" width="10" style="64"/>
    <col min="2559" max="2559" width="1.5" style="64" customWidth="1"/>
    <col min="2560" max="2560" width="9.375" style="64" customWidth="1"/>
    <col min="2561" max="2561" width="11" style="64" customWidth="1"/>
    <col min="2562" max="2562" width="9.5" style="64" customWidth="1"/>
    <col min="2563" max="2563" width="11.5" style="64" customWidth="1"/>
    <col min="2564" max="2564" width="10.125" style="64" customWidth="1"/>
    <col min="2565" max="2565" width="4.375" style="64" customWidth="1"/>
    <col min="2566" max="2566" width="9.5" style="64" customWidth="1"/>
    <col min="2567" max="2567" width="9" style="64" customWidth="1"/>
    <col min="2568" max="2568" width="10" style="64" customWidth="1"/>
    <col min="2569" max="2569" width="9.375" style="64" customWidth="1"/>
    <col min="2570" max="2570" width="1.5" style="64" customWidth="1"/>
    <col min="2571" max="2599" width="3.125" style="64" customWidth="1"/>
    <col min="2600" max="2814" width="10" style="64"/>
    <col min="2815" max="2815" width="1.5" style="64" customWidth="1"/>
    <col min="2816" max="2816" width="9.375" style="64" customWidth="1"/>
    <col min="2817" max="2817" width="11" style="64" customWidth="1"/>
    <col min="2818" max="2818" width="9.5" style="64" customWidth="1"/>
    <col min="2819" max="2819" width="11.5" style="64" customWidth="1"/>
    <col min="2820" max="2820" width="10.125" style="64" customWidth="1"/>
    <col min="2821" max="2821" width="4.375" style="64" customWidth="1"/>
    <col min="2822" max="2822" width="9.5" style="64" customWidth="1"/>
    <col min="2823" max="2823" width="9" style="64" customWidth="1"/>
    <col min="2824" max="2824" width="10" style="64" customWidth="1"/>
    <col min="2825" max="2825" width="9.375" style="64" customWidth="1"/>
    <col min="2826" max="2826" width="1.5" style="64" customWidth="1"/>
    <col min="2827" max="2855" width="3.125" style="64" customWidth="1"/>
    <col min="2856" max="3070" width="10" style="64"/>
    <col min="3071" max="3071" width="1.5" style="64" customWidth="1"/>
    <col min="3072" max="3072" width="9.375" style="64" customWidth="1"/>
    <col min="3073" max="3073" width="11" style="64" customWidth="1"/>
    <col min="3074" max="3074" width="9.5" style="64" customWidth="1"/>
    <col min="3075" max="3075" width="11.5" style="64" customWidth="1"/>
    <col min="3076" max="3076" width="10.125" style="64" customWidth="1"/>
    <col min="3077" max="3077" width="4.375" style="64" customWidth="1"/>
    <col min="3078" max="3078" width="9.5" style="64" customWidth="1"/>
    <col min="3079" max="3079" width="9" style="64" customWidth="1"/>
    <col min="3080" max="3080" width="10" style="64" customWidth="1"/>
    <col min="3081" max="3081" width="9.375" style="64" customWidth="1"/>
    <col min="3082" max="3082" width="1.5" style="64" customWidth="1"/>
    <col min="3083" max="3111" width="3.125" style="64" customWidth="1"/>
    <col min="3112" max="3326" width="10" style="64"/>
    <col min="3327" max="3327" width="1.5" style="64" customWidth="1"/>
    <col min="3328" max="3328" width="9.375" style="64" customWidth="1"/>
    <col min="3329" max="3329" width="11" style="64" customWidth="1"/>
    <col min="3330" max="3330" width="9.5" style="64" customWidth="1"/>
    <col min="3331" max="3331" width="11.5" style="64" customWidth="1"/>
    <col min="3332" max="3332" width="10.125" style="64" customWidth="1"/>
    <col min="3333" max="3333" width="4.375" style="64" customWidth="1"/>
    <col min="3334" max="3334" width="9.5" style="64" customWidth="1"/>
    <col min="3335" max="3335" width="9" style="64" customWidth="1"/>
    <col min="3336" max="3336" width="10" style="64" customWidth="1"/>
    <col min="3337" max="3337" width="9.375" style="64" customWidth="1"/>
    <col min="3338" max="3338" width="1.5" style="64" customWidth="1"/>
    <col min="3339" max="3367" width="3.125" style="64" customWidth="1"/>
    <col min="3368" max="3582" width="10" style="64"/>
    <col min="3583" max="3583" width="1.5" style="64" customWidth="1"/>
    <col min="3584" max="3584" width="9.375" style="64" customWidth="1"/>
    <col min="3585" max="3585" width="11" style="64" customWidth="1"/>
    <col min="3586" max="3586" width="9.5" style="64" customWidth="1"/>
    <col min="3587" max="3587" width="11.5" style="64" customWidth="1"/>
    <col min="3588" max="3588" width="10.125" style="64" customWidth="1"/>
    <col min="3589" max="3589" width="4.375" style="64" customWidth="1"/>
    <col min="3590" max="3590" width="9.5" style="64" customWidth="1"/>
    <col min="3591" max="3591" width="9" style="64" customWidth="1"/>
    <col min="3592" max="3592" width="10" style="64" customWidth="1"/>
    <col min="3593" max="3593" width="9.375" style="64" customWidth="1"/>
    <col min="3594" max="3594" width="1.5" style="64" customWidth="1"/>
    <col min="3595" max="3623" width="3.125" style="64" customWidth="1"/>
    <col min="3624" max="3838" width="10" style="64"/>
    <col min="3839" max="3839" width="1.5" style="64" customWidth="1"/>
    <col min="3840" max="3840" width="9.375" style="64" customWidth="1"/>
    <col min="3841" max="3841" width="11" style="64" customWidth="1"/>
    <col min="3842" max="3842" width="9.5" style="64" customWidth="1"/>
    <col min="3843" max="3843" width="11.5" style="64" customWidth="1"/>
    <col min="3844" max="3844" width="10.125" style="64" customWidth="1"/>
    <col min="3845" max="3845" width="4.375" style="64" customWidth="1"/>
    <col min="3846" max="3846" width="9.5" style="64" customWidth="1"/>
    <col min="3847" max="3847" width="9" style="64" customWidth="1"/>
    <col min="3848" max="3848" width="10" style="64" customWidth="1"/>
    <col min="3849" max="3849" width="9.375" style="64" customWidth="1"/>
    <col min="3850" max="3850" width="1.5" style="64" customWidth="1"/>
    <col min="3851" max="3879" width="3.125" style="64" customWidth="1"/>
    <col min="3880" max="4094" width="10" style="64"/>
    <col min="4095" max="4095" width="1.5" style="64" customWidth="1"/>
    <col min="4096" max="4096" width="9.375" style="64" customWidth="1"/>
    <col min="4097" max="4097" width="11" style="64" customWidth="1"/>
    <col min="4098" max="4098" width="9.5" style="64" customWidth="1"/>
    <col min="4099" max="4099" width="11.5" style="64" customWidth="1"/>
    <col min="4100" max="4100" width="10.125" style="64" customWidth="1"/>
    <col min="4101" max="4101" width="4.375" style="64" customWidth="1"/>
    <col min="4102" max="4102" width="9.5" style="64" customWidth="1"/>
    <col min="4103" max="4103" width="9" style="64" customWidth="1"/>
    <col min="4104" max="4104" width="10" style="64" customWidth="1"/>
    <col min="4105" max="4105" width="9.375" style="64" customWidth="1"/>
    <col min="4106" max="4106" width="1.5" style="64" customWidth="1"/>
    <col min="4107" max="4135" width="3.125" style="64" customWidth="1"/>
    <col min="4136" max="4350" width="10" style="64"/>
    <col min="4351" max="4351" width="1.5" style="64" customWidth="1"/>
    <col min="4352" max="4352" width="9.375" style="64" customWidth="1"/>
    <col min="4353" max="4353" width="11" style="64" customWidth="1"/>
    <col min="4354" max="4354" width="9.5" style="64" customWidth="1"/>
    <col min="4355" max="4355" width="11.5" style="64" customWidth="1"/>
    <col min="4356" max="4356" width="10.125" style="64" customWidth="1"/>
    <col min="4357" max="4357" width="4.375" style="64" customWidth="1"/>
    <col min="4358" max="4358" width="9.5" style="64" customWidth="1"/>
    <col min="4359" max="4359" width="9" style="64" customWidth="1"/>
    <col min="4360" max="4360" width="10" style="64" customWidth="1"/>
    <col min="4361" max="4361" width="9.375" style="64" customWidth="1"/>
    <col min="4362" max="4362" width="1.5" style="64" customWidth="1"/>
    <col min="4363" max="4391" width="3.125" style="64" customWidth="1"/>
    <col min="4392" max="4606" width="10" style="64"/>
    <col min="4607" max="4607" width="1.5" style="64" customWidth="1"/>
    <col min="4608" max="4608" width="9.375" style="64" customWidth="1"/>
    <col min="4609" max="4609" width="11" style="64" customWidth="1"/>
    <col min="4610" max="4610" width="9.5" style="64" customWidth="1"/>
    <col min="4611" max="4611" width="11.5" style="64" customWidth="1"/>
    <col min="4612" max="4612" width="10.125" style="64" customWidth="1"/>
    <col min="4613" max="4613" width="4.375" style="64" customWidth="1"/>
    <col min="4614" max="4614" width="9.5" style="64" customWidth="1"/>
    <col min="4615" max="4615" width="9" style="64" customWidth="1"/>
    <col min="4616" max="4616" width="10" style="64" customWidth="1"/>
    <col min="4617" max="4617" width="9.375" style="64" customWidth="1"/>
    <col min="4618" max="4618" width="1.5" style="64" customWidth="1"/>
    <col min="4619" max="4647" width="3.125" style="64" customWidth="1"/>
    <col min="4648" max="4862" width="10" style="64"/>
    <col min="4863" max="4863" width="1.5" style="64" customWidth="1"/>
    <col min="4864" max="4864" width="9.375" style="64" customWidth="1"/>
    <col min="4865" max="4865" width="11" style="64" customWidth="1"/>
    <col min="4866" max="4866" width="9.5" style="64" customWidth="1"/>
    <col min="4867" max="4867" width="11.5" style="64" customWidth="1"/>
    <col min="4868" max="4868" width="10.125" style="64" customWidth="1"/>
    <col min="4869" max="4869" width="4.375" style="64" customWidth="1"/>
    <col min="4870" max="4870" width="9.5" style="64" customWidth="1"/>
    <col min="4871" max="4871" width="9" style="64" customWidth="1"/>
    <col min="4872" max="4872" width="10" style="64" customWidth="1"/>
    <col min="4873" max="4873" width="9.375" style="64" customWidth="1"/>
    <col min="4874" max="4874" width="1.5" style="64" customWidth="1"/>
    <col min="4875" max="4903" width="3.125" style="64" customWidth="1"/>
    <col min="4904" max="5118" width="10" style="64"/>
    <col min="5119" max="5119" width="1.5" style="64" customWidth="1"/>
    <col min="5120" max="5120" width="9.375" style="64" customWidth="1"/>
    <col min="5121" max="5121" width="11" style="64" customWidth="1"/>
    <col min="5122" max="5122" width="9.5" style="64" customWidth="1"/>
    <col min="5123" max="5123" width="11.5" style="64" customWidth="1"/>
    <col min="5124" max="5124" width="10.125" style="64" customWidth="1"/>
    <col min="5125" max="5125" width="4.375" style="64" customWidth="1"/>
    <col min="5126" max="5126" width="9.5" style="64" customWidth="1"/>
    <col min="5127" max="5127" width="9" style="64" customWidth="1"/>
    <col min="5128" max="5128" width="10" style="64" customWidth="1"/>
    <col min="5129" max="5129" width="9.375" style="64" customWidth="1"/>
    <col min="5130" max="5130" width="1.5" style="64" customWidth="1"/>
    <col min="5131" max="5159" width="3.125" style="64" customWidth="1"/>
    <col min="5160" max="5374" width="10" style="64"/>
    <col min="5375" max="5375" width="1.5" style="64" customWidth="1"/>
    <col min="5376" max="5376" width="9.375" style="64" customWidth="1"/>
    <col min="5377" max="5377" width="11" style="64" customWidth="1"/>
    <col min="5378" max="5378" width="9.5" style="64" customWidth="1"/>
    <col min="5379" max="5379" width="11.5" style="64" customWidth="1"/>
    <col min="5380" max="5380" width="10.125" style="64" customWidth="1"/>
    <col min="5381" max="5381" width="4.375" style="64" customWidth="1"/>
    <col min="5382" max="5382" width="9.5" style="64" customWidth="1"/>
    <col min="5383" max="5383" width="9" style="64" customWidth="1"/>
    <col min="5384" max="5384" width="10" style="64" customWidth="1"/>
    <col min="5385" max="5385" width="9.375" style="64" customWidth="1"/>
    <col min="5386" max="5386" width="1.5" style="64" customWidth="1"/>
    <col min="5387" max="5415" width="3.125" style="64" customWidth="1"/>
    <col min="5416" max="5630" width="10" style="64"/>
    <col min="5631" max="5631" width="1.5" style="64" customWidth="1"/>
    <col min="5632" max="5632" width="9.375" style="64" customWidth="1"/>
    <col min="5633" max="5633" width="11" style="64" customWidth="1"/>
    <col min="5634" max="5634" width="9.5" style="64" customWidth="1"/>
    <col min="5635" max="5635" width="11.5" style="64" customWidth="1"/>
    <col min="5636" max="5636" width="10.125" style="64" customWidth="1"/>
    <col min="5637" max="5637" width="4.375" style="64" customWidth="1"/>
    <col min="5638" max="5638" width="9.5" style="64" customWidth="1"/>
    <col min="5639" max="5639" width="9" style="64" customWidth="1"/>
    <col min="5640" max="5640" width="10" style="64" customWidth="1"/>
    <col min="5641" max="5641" width="9.375" style="64" customWidth="1"/>
    <col min="5642" max="5642" width="1.5" style="64" customWidth="1"/>
    <col min="5643" max="5671" width="3.125" style="64" customWidth="1"/>
    <col min="5672" max="5886" width="10" style="64"/>
    <col min="5887" max="5887" width="1.5" style="64" customWidth="1"/>
    <col min="5888" max="5888" width="9.375" style="64" customWidth="1"/>
    <col min="5889" max="5889" width="11" style="64" customWidth="1"/>
    <col min="5890" max="5890" width="9.5" style="64" customWidth="1"/>
    <col min="5891" max="5891" width="11.5" style="64" customWidth="1"/>
    <col min="5892" max="5892" width="10.125" style="64" customWidth="1"/>
    <col min="5893" max="5893" width="4.375" style="64" customWidth="1"/>
    <col min="5894" max="5894" width="9.5" style="64" customWidth="1"/>
    <col min="5895" max="5895" width="9" style="64" customWidth="1"/>
    <col min="5896" max="5896" width="10" style="64" customWidth="1"/>
    <col min="5897" max="5897" width="9.375" style="64" customWidth="1"/>
    <col min="5898" max="5898" width="1.5" style="64" customWidth="1"/>
    <col min="5899" max="5927" width="3.125" style="64" customWidth="1"/>
    <col min="5928" max="6142" width="10" style="64"/>
    <col min="6143" max="6143" width="1.5" style="64" customWidth="1"/>
    <col min="6144" max="6144" width="9.375" style="64" customWidth="1"/>
    <col min="6145" max="6145" width="11" style="64" customWidth="1"/>
    <col min="6146" max="6146" width="9.5" style="64" customWidth="1"/>
    <col min="6147" max="6147" width="11.5" style="64" customWidth="1"/>
    <col min="6148" max="6148" width="10.125" style="64" customWidth="1"/>
    <col min="6149" max="6149" width="4.375" style="64" customWidth="1"/>
    <col min="6150" max="6150" width="9.5" style="64" customWidth="1"/>
    <col min="6151" max="6151" width="9" style="64" customWidth="1"/>
    <col min="6152" max="6152" width="10" style="64" customWidth="1"/>
    <col min="6153" max="6153" width="9.375" style="64" customWidth="1"/>
    <col min="6154" max="6154" width="1.5" style="64" customWidth="1"/>
    <col min="6155" max="6183" width="3.125" style="64" customWidth="1"/>
    <col min="6184" max="6398" width="10" style="64"/>
    <col min="6399" max="6399" width="1.5" style="64" customWidth="1"/>
    <col min="6400" max="6400" width="9.375" style="64" customWidth="1"/>
    <col min="6401" max="6401" width="11" style="64" customWidth="1"/>
    <col min="6402" max="6402" width="9.5" style="64" customWidth="1"/>
    <col min="6403" max="6403" width="11.5" style="64" customWidth="1"/>
    <col min="6404" max="6404" width="10.125" style="64" customWidth="1"/>
    <col min="6405" max="6405" width="4.375" style="64" customWidth="1"/>
    <col min="6406" max="6406" width="9.5" style="64" customWidth="1"/>
    <col min="6407" max="6407" width="9" style="64" customWidth="1"/>
    <col min="6408" max="6408" width="10" style="64" customWidth="1"/>
    <col min="6409" max="6409" width="9.375" style="64" customWidth="1"/>
    <col min="6410" max="6410" width="1.5" style="64" customWidth="1"/>
    <col min="6411" max="6439" width="3.125" style="64" customWidth="1"/>
    <col min="6440" max="6654" width="10" style="64"/>
    <col min="6655" max="6655" width="1.5" style="64" customWidth="1"/>
    <col min="6656" max="6656" width="9.375" style="64" customWidth="1"/>
    <col min="6657" max="6657" width="11" style="64" customWidth="1"/>
    <col min="6658" max="6658" width="9.5" style="64" customWidth="1"/>
    <col min="6659" max="6659" width="11.5" style="64" customWidth="1"/>
    <col min="6660" max="6660" width="10.125" style="64" customWidth="1"/>
    <col min="6661" max="6661" width="4.375" style="64" customWidth="1"/>
    <col min="6662" max="6662" width="9.5" style="64" customWidth="1"/>
    <col min="6663" max="6663" width="9" style="64" customWidth="1"/>
    <col min="6664" max="6664" width="10" style="64" customWidth="1"/>
    <col min="6665" max="6665" width="9.375" style="64" customWidth="1"/>
    <col min="6666" max="6666" width="1.5" style="64" customWidth="1"/>
    <col min="6667" max="6695" width="3.125" style="64" customWidth="1"/>
    <col min="6696" max="6910" width="10" style="64"/>
    <col min="6911" max="6911" width="1.5" style="64" customWidth="1"/>
    <col min="6912" max="6912" width="9.375" style="64" customWidth="1"/>
    <col min="6913" max="6913" width="11" style="64" customWidth="1"/>
    <col min="6914" max="6914" width="9.5" style="64" customWidth="1"/>
    <col min="6915" max="6915" width="11.5" style="64" customWidth="1"/>
    <col min="6916" max="6916" width="10.125" style="64" customWidth="1"/>
    <col min="6917" max="6917" width="4.375" style="64" customWidth="1"/>
    <col min="6918" max="6918" width="9.5" style="64" customWidth="1"/>
    <col min="6919" max="6919" width="9" style="64" customWidth="1"/>
    <col min="6920" max="6920" width="10" style="64" customWidth="1"/>
    <col min="6921" max="6921" width="9.375" style="64" customWidth="1"/>
    <col min="6922" max="6922" width="1.5" style="64" customWidth="1"/>
    <col min="6923" max="6951" width="3.125" style="64" customWidth="1"/>
    <col min="6952" max="7166" width="10" style="64"/>
    <col min="7167" max="7167" width="1.5" style="64" customWidth="1"/>
    <col min="7168" max="7168" width="9.375" style="64" customWidth="1"/>
    <col min="7169" max="7169" width="11" style="64" customWidth="1"/>
    <col min="7170" max="7170" width="9.5" style="64" customWidth="1"/>
    <col min="7171" max="7171" width="11.5" style="64" customWidth="1"/>
    <col min="7172" max="7172" width="10.125" style="64" customWidth="1"/>
    <col min="7173" max="7173" width="4.375" style="64" customWidth="1"/>
    <col min="7174" max="7174" width="9.5" style="64" customWidth="1"/>
    <col min="7175" max="7175" width="9" style="64" customWidth="1"/>
    <col min="7176" max="7176" width="10" style="64" customWidth="1"/>
    <col min="7177" max="7177" width="9.375" style="64" customWidth="1"/>
    <col min="7178" max="7178" width="1.5" style="64" customWidth="1"/>
    <col min="7179" max="7207" width="3.125" style="64" customWidth="1"/>
    <col min="7208" max="7422" width="10" style="64"/>
    <col min="7423" max="7423" width="1.5" style="64" customWidth="1"/>
    <col min="7424" max="7424" width="9.375" style="64" customWidth="1"/>
    <col min="7425" max="7425" width="11" style="64" customWidth="1"/>
    <col min="7426" max="7426" width="9.5" style="64" customWidth="1"/>
    <col min="7427" max="7427" width="11.5" style="64" customWidth="1"/>
    <col min="7428" max="7428" width="10.125" style="64" customWidth="1"/>
    <col min="7429" max="7429" width="4.375" style="64" customWidth="1"/>
    <col min="7430" max="7430" width="9.5" style="64" customWidth="1"/>
    <col min="7431" max="7431" width="9" style="64" customWidth="1"/>
    <col min="7432" max="7432" width="10" style="64" customWidth="1"/>
    <col min="7433" max="7433" width="9.375" style="64" customWidth="1"/>
    <col min="7434" max="7434" width="1.5" style="64" customWidth="1"/>
    <col min="7435" max="7463" width="3.125" style="64" customWidth="1"/>
    <col min="7464" max="7678" width="10" style="64"/>
    <col min="7679" max="7679" width="1.5" style="64" customWidth="1"/>
    <col min="7680" max="7680" width="9.375" style="64" customWidth="1"/>
    <col min="7681" max="7681" width="11" style="64" customWidth="1"/>
    <col min="7682" max="7682" width="9.5" style="64" customWidth="1"/>
    <col min="7683" max="7683" width="11.5" style="64" customWidth="1"/>
    <col min="7684" max="7684" width="10.125" style="64" customWidth="1"/>
    <col min="7685" max="7685" width="4.375" style="64" customWidth="1"/>
    <col min="7686" max="7686" width="9.5" style="64" customWidth="1"/>
    <col min="7687" max="7687" width="9" style="64" customWidth="1"/>
    <col min="7688" max="7688" width="10" style="64" customWidth="1"/>
    <col min="7689" max="7689" width="9.375" style="64" customWidth="1"/>
    <col min="7690" max="7690" width="1.5" style="64" customWidth="1"/>
    <col min="7691" max="7719" width="3.125" style="64" customWidth="1"/>
    <col min="7720" max="7934" width="10" style="64"/>
    <col min="7935" max="7935" width="1.5" style="64" customWidth="1"/>
    <col min="7936" max="7936" width="9.375" style="64" customWidth="1"/>
    <col min="7937" max="7937" width="11" style="64" customWidth="1"/>
    <col min="7938" max="7938" width="9.5" style="64" customWidth="1"/>
    <col min="7939" max="7939" width="11.5" style="64" customWidth="1"/>
    <col min="7940" max="7940" width="10.125" style="64" customWidth="1"/>
    <col min="7941" max="7941" width="4.375" style="64" customWidth="1"/>
    <col min="7942" max="7942" width="9.5" style="64" customWidth="1"/>
    <col min="7943" max="7943" width="9" style="64" customWidth="1"/>
    <col min="7944" max="7944" width="10" style="64" customWidth="1"/>
    <col min="7945" max="7945" width="9.375" style="64" customWidth="1"/>
    <col min="7946" max="7946" width="1.5" style="64" customWidth="1"/>
    <col min="7947" max="7975" width="3.125" style="64" customWidth="1"/>
    <col min="7976" max="8190" width="10" style="64"/>
    <col min="8191" max="8191" width="1.5" style="64" customWidth="1"/>
    <col min="8192" max="8192" width="9.375" style="64" customWidth="1"/>
    <col min="8193" max="8193" width="11" style="64" customWidth="1"/>
    <col min="8194" max="8194" width="9.5" style="64" customWidth="1"/>
    <col min="8195" max="8195" width="11.5" style="64" customWidth="1"/>
    <col min="8196" max="8196" width="10.125" style="64" customWidth="1"/>
    <col min="8197" max="8197" width="4.375" style="64" customWidth="1"/>
    <col min="8198" max="8198" width="9.5" style="64" customWidth="1"/>
    <col min="8199" max="8199" width="9" style="64" customWidth="1"/>
    <col min="8200" max="8200" width="10" style="64" customWidth="1"/>
    <col min="8201" max="8201" width="9.375" style="64" customWidth="1"/>
    <col min="8202" max="8202" width="1.5" style="64" customWidth="1"/>
    <col min="8203" max="8231" width="3.125" style="64" customWidth="1"/>
    <col min="8232" max="8446" width="10" style="64"/>
    <col min="8447" max="8447" width="1.5" style="64" customWidth="1"/>
    <col min="8448" max="8448" width="9.375" style="64" customWidth="1"/>
    <col min="8449" max="8449" width="11" style="64" customWidth="1"/>
    <col min="8450" max="8450" width="9.5" style="64" customWidth="1"/>
    <col min="8451" max="8451" width="11.5" style="64" customWidth="1"/>
    <col min="8452" max="8452" width="10.125" style="64" customWidth="1"/>
    <col min="8453" max="8453" width="4.375" style="64" customWidth="1"/>
    <col min="8454" max="8454" width="9.5" style="64" customWidth="1"/>
    <col min="8455" max="8455" width="9" style="64" customWidth="1"/>
    <col min="8456" max="8456" width="10" style="64" customWidth="1"/>
    <col min="8457" max="8457" width="9.375" style="64" customWidth="1"/>
    <col min="8458" max="8458" width="1.5" style="64" customWidth="1"/>
    <col min="8459" max="8487" width="3.125" style="64" customWidth="1"/>
    <col min="8488" max="8702" width="10" style="64"/>
    <col min="8703" max="8703" width="1.5" style="64" customWidth="1"/>
    <col min="8704" max="8704" width="9.375" style="64" customWidth="1"/>
    <col min="8705" max="8705" width="11" style="64" customWidth="1"/>
    <col min="8706" max="8706" width="9.5" style="64" customWidth="1"/>
    <col min="8707" max="8707" width="11.5" style="64" customWidth="1"/>
    <col min="8708" max="8708" width="10.125" style="64" customWidth="1"/>
    <col min="8709" max="8709" width="4.375" style="64" customWidth="1"/>
    <col min="8710" max="8710" width="9.5" style="64" customWidth="1"/>
    <col min="8711" max="8711" width="9" style="64" customWidth="1"/>
    <col min="8712" max="8712" width="10" style="64" customWidth="1"/>
    <col min="8713" max="8713" width="9.375" style="64" customWidth="1"/>
    <col min="8714" max="8714" width="1.5" style="64" customWidth="1"/>
    <col min="8715" max="8743" width="3.125" style="64" customWidth="1"/>
    <col min="8744" max="8958" width="10" style="64"/>
    <col min="8959" max="8959" width="1.5" style="64" customWidth="1"/>
    <col min="8960" max="8960" width="9.375" style="64" customWidth="1"/>
    <col min="8961" max="8961" width="11" style="64" customWidth="1"/>
    <col min="8962" max="8962" width="9.5" style="64" customWidth="1"/>
    <col min="8963" max="8963" width="11.5" style="64" customWidth="1"/>
    <col min="8964" max="8964" width="10.125" style="64" customWidth="1"/>
    <col min="8965" max="8965" width="4.375" style="64" customWidth="1"/>
    <col min="8966" max="8966" width="9.5" style="64" customWidth="1"/>
    <col min="8967" max="8967" width="9" style="64" customWidth="1"/>
    <col min="8968" max="8968" width="10" style="64" customWidth="1"/>
    <col min="8969" max="8969" width="9.375" style="64" customWidth="1"/>
    <col min="8970" max="8970" width="1.5" style="64" customWidth="1"/>
    <col min="8971" max="8999" width="3.125" style="64" customWidth="1"/>
    <col min="9000" max="9214" width="10" style="64"/>
    <col min="9215" max="9215" width="1.5" style="64" customWidth="1"/>
    <col min="9216" max="9216" width="9.375" style="64" customWidth="1"/>
    <col min="9217" max="9217" width="11" style="64" customWidth="1"/>
    <col min="9218" max="9218" width="9.5" style="64" customWidth="1"/>
    <col min="9219" max="9219" width="11.5" style="64" customWidth="1"/>
    <col min="9220" max="9220" width="10.125" style="64" customWidth="1"/>
    <col min="9221" max="9221" width="4.375" style="64" customWidth="1"/>
    <col min="9222" max="9222" width="9.5" style="64" customWidth="1"/>
    <col min="9223" max="9223" width="9" style="64" customWidth="1"/>
    <col min="9224" max="9224" width="10" style="64" customWidth="1"/>
    <col min="9225" max="9225" width="9.375" style="64" customWidth="1"/>
    <col min="9226" max="9226" width="1.5" style="64" customWidth="1"/>
    <col min="9227" max="9255" width="3.125" style="64" customWidth="1"/>
    <col min="9256" max="9470" width="10" style="64"/>
    <col min="9471" max="9471" width="1.5" style="64" customWidth="1"/>
    <col min="9472" max="9472" width="9.375" style="64" customWidth="1"/>
    <col min="9473" max="9473" width="11" style="64" customWidth="1"/>
    <col min="9474" max="9474" width="9.5" style="64" customWidth="1"/>
    <col min="9475" max="9475" width="11.5" style="64" customWidth="1"/>
    <col min="9476" max="9476" width="10.125" style="64" customWidth="1"/>
    <col min="9477" max="9477" width="4.375" style="64" customWidth="1"/>
    <col min="9478" max="9478" width="9.5" style="64" customWidth="1"/>
    <col min="9479" max="9479" width="9" style="64" customWidth="1"/>
    <col min="9480" max="9480" width="10" style="64" customWidth="1"/>
    <col min="9481" max="9481" width="9.375" style="64" customWidth="1"/>
    <col min="9482" max="9482" width="1.5" style="64" customWidth="1"/>
    <col min="9483" max="9511" width="3.125" style="64" customWidth="1"/>
    <col min="9512" max="9726" width="10" style="64"/>
    <col min="9727" max="9727" width="1.5" style="64" customWidth="1"/>
    <col min="9728" max="9728" width="9.375" style="64" customWidth="1"/>
    <col min="9729" max="9729" width="11" style="64" customWidth="1"/>
    <col min="9730" max="9730" width="9.5" style="64" customWidth="1"/>
    <col min="9731" max="9731" width="11.5" style="64" customWidth="1"/>
    <col min="9732" max="9732" width="10.125" style="64" customWidth="1"/>
    <col min="9733" max="9733" width="4.375" style="64" customWidth="1"/>
    <col min="9734" max="9734" width="9.5" style="64" customWidth="1"/>
    <col min="9735" max="9735" width="9" style="64" customWidth="1"/>
    <col min="9736" max="9736" width="10" style="64" customWidth="1"/>
    <col min="9737" max="9737" width="9.375" style="64" customWidth="1"/>
    <col min="9738" max="9738" width="1.5" style="64" customWidth="1"/>
    <col min="9739" max="9767" width="3.125" style="64" customWidth="1"/>
    <col min="9768" max="9982" width="10" style="64"/>
    <col min="9983" max="9983" width="1.5" style="64" customWidth="1"/>
    <col min="9984" max="9984" width="9.375" style="64" customWidth="1"/>
    <col min="9985" max="9985" width="11" style="64" customWidth="1"/>
    <col min="9986" max="9986" width="9.5" style="64" customWidth="1"/>
    <col min="9987" max="9987" width="11.5" style="64" customWidth="1"/>
    <col min="9988" max="9988" width="10.125" style="64" customWidth="1"/>
    <col min="9989" max="9989" width="4.375" style="64" customWidth="1"/>
    <col min="9990" max="9990" width="9.5" style="64" customWidth="1"/>
    <col min="9991" max="9991" width="9" style="64" customWidth="1"/>
    <col min="9992" max="9992" width="10" style="64" customWidth="1"/>
    <col min="9993" max="9993" width="9.375" style="64" customWidth="1"/>
    <col min="9994" max="9994" width="1.5" style="64" customWidth="1"/>
    <col min="9995" max="10023" width="3.125" style="64" customWidth="1"/>
    <col min="10024" max="10238" width="10" style="64"/>
    <col min="10239" max="10239" width="1.5" style="64" customWidth="1"/>
    <col min="10240" max="10240" width="9.375" style="64" customWidth="1"/>
    <col min="10241" max="10241" width="11" style="64" customWidth="1"/>
    <col min="10242" max="10242" width="9.5" style="64" customWidth="1"/>
    <col min="10243" max="10243" width="11.5" style="64" customWidth="1"/>
    <col min="10244" max="10244" width="10.125" style="64" customWidth="1"/>
    <col min="10245" max="10245" width="4.375" style="64" customWidth="1"/>
    <col min="10246" max="10246" width="9.5" style="64" customWidth="1"/>
    <col min="10247" max="10247" width="9" style="64" customWidth="1"/>
    <col min="10248" max="10248" width="10" style="64" customWidth="1"/>
    <col min="10249" max="10249" width="9.375" style="64" customWidth="1"/>
    <col min="10250" max="10250" width="1.5" style="64" customWidth="1"/>
    <col min="10251" max="10279" width="3.125" style="64" customWidth="1"/>
    <col min="10280" max="10494" width="10" style="64"/>
    <col min="10495" max="10495" width="1.5" style="64" customWidth="1"/>
    <col min="10496" max="10496" width="9.375" style="64" customWidth="1"/>
    <col min="10497" max="10497" width="11" style="64" customWidth="1"/>
    <col min="10498" max="10498" width="9.5" style="64" customWidth="1"/>
    <col min="10499" max="10499" width="11.5" style="64" customWidth="1"/>
    <col min="10500" max="10500" width="10.125" style="64" customWidth="1"/>
    <col min="10501" max="10501" width="4.375" style="64" customWidth="1"/>
    <col min="10502" max="10502" width="9.5" style="64" customWidth="1"/>
    <col min="10503" max="10503" width="9" style="64" customWidth="1"/>
    <col min="10504" max="10504" width="10" style="64" customWidth="1"/>
    <col min="10505" max="10505" width="9.375" style="64" customWidth="1"/>
    <col min="10506" max="10506" width="1.5" style="64" customWidth="1"/>
    <col min="10507" max="10535" width="3.125" style="64" customWidth="1"/>
    <col min="10536" max="10750" width="10" style="64"/>
    <col min="10751" max="10751" width="1.5" style="64" customWidth="1"/>
    <col min="10752" max="10752" width="9.375" style="64" customWidth="1"/>
    <col min="10753" max="10753" width="11" style="64" customWidth="1"/>
    <col min="10754" max="10754" width="9.5" style="64" customWidth="1"/>
    <col min="10755" max="10755" width="11.5" style="64" customWidth="1"/>
    <col min="10756" max="10756" width="10.125" style="64" customWidth="1"/>
    <col min="10757" max="10757" width="4.375" style="64" customWidth="1"/>
    <col min="10758" max="10758" width="9.5" style="64" customWidth="1"/>
    <col min="10759" max="10759" width="9" style="64" customWidth="1"/>
    <col min="10760" max="10760" width="10" style="64" customWidth="1"/>
    <col min="10761" max="10761" width="9.375" style="64" customWidth="1"/>
    <col min="10762" max="10762" width="1.5" style="64" customWidth="1"/>
    <col min="10763" max="10791" width="3.125" style="64" customWidth="1"/>
    <col min="10792" max="11006" width="10" style="64"/>
    <col min="11007" max="11007" width="1.5" style="64" customWidth="1"/>
    <col min="11008" max="11008" width="9.375" style="64" customWidth="1"/>
    <col min="11009" max="11009" width="11" style="64" customWidth="1"/>
    <col min="11010" max="11010" width="9.5" style="64" customWidth="1"/>
    <col min="11011" max="11011" width="11.5" style="64" customWidth="1"/>
    <col min="11012" max="11012" width="10.125" style="64" customWidth="1"/>
    <col min="11013" max="11013" width="4.375" style="64" customWidth="1"/>
    <col min="11014" max="11014" width="9.5" style="64" customWidth="1"/>
    <col min="11015" max="11015" width="9" style="64" customWidth="1"/>
    <col min="11016" max="11016" width="10" style="64" customWidth="1"/>
    <col min="11017" max="11017" width="9.375" style="64" customWidth="1"/>
    <col min="11018" max="11018" width="1.5" style="64" customWidth="1"/>
    <col min="11019" max="11047" width="3.125" style="64" customWidth="1"/>
    <col min="11048" max="11262" width="10" style="64"/>
    <col min="11263" max="11263" width="1.5" style="64" customWidth="1"/>
    <col min="11264" max="11264" width="9.375" style="64" customWidth="1"/>
    <col min="11265" max="11265" width="11" style="64" customWidth="1"/>
    <col min="11266" max="11266" width="9.5" style="64" customWidth="1"/>
    <col min="11267" max="11267" width="11.5" style="64" customWidth="1"/>
    <col min="11268" max="11268" width="10.125" style="64" customWidth="1"/>
    <col min="11269" max="11269" width="4.375" style="64" customWidth="1"/>
    <col min="11270" max="11270" width="9.5" style="64" customWidth="1"/>
    <col min="11271" max="11271" width="9" style="64" customWidth="1"/>
    <col min="11272" max="11272" width="10" style="64" customWidth="1"/>
    <col min="11273" max="11273" width="9.375" style="64" customWidth="1"/>
    <col min="11274" max="11274" width="1.5" style="64" customWidth="1"/>
    <col min="11275" max="11303" width="3.125" style="64" customWidth="1"/>
    <col min="11304" max="11518" width="10" style="64"/>
    <col min="11519" max="11519" width="1.5" style="64" customWidth="1"/>
    <col min="11520" max="11520" width="9.375" style="64" customWidth="1"/>
    <col min="11521" max="11521" width="11" style="64" customWidth="1"/>
    <col min="11522" max="11522" width="9.5" style="64" customWidth="1"/>
    <col min="11523" max="11523" width="11.5" style="64" customWidth="1"/>
    <col min="11524" max="11524" width="10.125" style="64" customWidth="1"/>
    <col min="11525" max="11525" width="4.375" style="64" customWidth="1"/>
    <col min="11526" max="11526" width="9.5" style="64" customWidth="1"/>
    <col min="11527" max="11527" width="9" style="64" customWidth="1"/>
    <col min="11528" max="11528" width="10" style="64" customWidth="1"/>
    <col min="11529" max="11529" width="9.375" style="64" customWidth="1"/>
    <col min="11530" max="11530" width="1.5" style="64" customWidth="1"/>
    <col min="11531" max="11559" width="3.125" style="64" customWidth="1"/>
    <col min="11560" max="11774" width="10" style="64"/>
    <col min="11775" max="11775" width="1.5" style="64" customWidth="1"/>
    <col min="11776" max="11776" width="9.375" style="64" customWidth="1"/>
    <col min="11777" max="11777" width="11" style="64" customWidth="1"/>
    <col min="11778" max="11778" width="9.5" style="64" customWidth="1"/>
    <col min="11779" max="11779" width="11.5" style="64" customWidth="1"/>
    <col min="11780" max="11780" width="10.125" style="64" customWidth="1"/>
    <col min="11781" max="11781" width="4.375" style="64" customWidth="1"/>
    <col min="11782" max="11782" width="9.5" style="64" customWidth="1"/>
    <col min="11783" max="11783" width="9" style="64" customWidth="1"/>
    <col min="11784" max="11784" width="10" style="64" customWidth="1"/>
    <col min="11785" max="11785" width="9.375" style="64" customWidth="1"/>
    <col min="11786" max="11786" width="1.5" style="64" customWidth="1"/>
    <col min="11787" max="11815" width="3.125" style="64" customWidth="1"/>
    <col min="11816" max="12030" width="10" style="64"/>
    <col min="12031" max="12031" width="1.5" style="64" customWidth="1"/>
    <col min="12032" max="12032" width="9.375" style="64" customWidth="1"/>
    <col min="12033" max="12033" width="11" style="64" customWidth="1"/>
    <col min="12034" max="12034" width="9.5" style="64" customWidth="1"/>
    <col min="12035" max="12035" width="11.5" style="64" customWidth="1"/>
    <col min="12036" max="12036" width="10.125" style="64" customWidth="1"/>
    <col min="12037" max="12037" width="4.375" style="64" customWidth="1"/>
    <col min="12038" max="12038" width="9.5" style="64" customWidth="1"/>
    <col min="12039" max="12039" width="9" style="64" customWidth="1"/>
    <col min="12040" max="12040" width="10" style="64" customWidth="1"/>
    <col min="12041" max="12041" width="9.375" style="64" customWidth="1"/>
    <col min="12042" max="12042" width="1.5" style="64" customWidth="1"/>
    <col min="12043" max="12071" width="3.125" style="64" customWidth="1"/>
    <col min="12072" max="12286" width="10" style="64"/>
    <col min="12287" max="12287" width="1.5" style="64" customWidth="1"/>
    <col min="12288" max="12288" width="9.375" style="64" customWidth="1"/>
    <col min="12289" max="12289" width="11" style="64" customWidth="1"/>
    <col min="12290" max="12290" width="9.5" style="64" customWidth="1"/>
    <col min="12291" max="12291" width="11.5" style="64" customWidth="1"/>
    <col min="12292" max="12292" width="10.125" style="64" customWidth="1"/>
    <col min="12293" max="12293" width="4.375" style="64" customWidth="1"/>
    <col min="12294" max="12294" width="9.5" style="64" customWidth="1"/>
    <col min="12295" max="12295" width="9" style="64" customWidth="1"/>
    <col min="12296" max="12296" width="10" style="64" customWidth="1"/>
    <col min="12297" max="12297" width="9.375" style="64" customWidth="1"/>
    <col min="12298" max="12298" width="1.5" style="64" customWidth="1"/>
    <col min="12299" max="12327" width="3.125" style="64" customWidth="1"/>
    <col min="12328" max="12542" width="10" style="64"/>
    <col min="12543" max="12543" width="1.5" style="64" customWidth="1"/>
    <col min="12544" max="12544" width="9.375" style="64" customWidth="1"/>
    <col min="12545" max="12545" width="11" style="64" customWidth="1"/>
    <col min="12546" max="12546" width="9.5" style="64" customWidth="1"/>
    <col min="12547" max="12547" width="11.5" style="64" customWidth="1"/>
    <col min="12548" max="12548" width="10.125" style="64" customWidth="1"/>
    <col min="12549" max="12549" width="4.375" style="64" customWidth="1"/>
    <col min="12550" max="12550" width="9.5" style="64" customWidth="1"/>
    <col min="12551" max="12551" width="9" style="64" customWidth="1"/>
    <col min="12552" max="12552" width="10" style="64" customWidth="1"/>
    <col min="12553" max="12553" width="9.375" style="64" customWidth="1"/>
    <col min="12554" max="12554" width="1.5" style="64" customWidth="1"/>
    <col min="12555" max="12583" width="3.125" style="64" customWidth="1"/>
    <col min="12584" max="12798" width="10" style="64"/>
    <col min="12799" max="12799" width="1.5" style="64" customWidth="1"/>
    <col min="12800" max="12800" width="9.375" style="64" customWidth="1"/>
    <col min="12801" max="12801" width="11" style="64" customWidth="1"/>
    <col min="12802" max="12802" width="9.5" style="64" customWidth="1"/>
    <col min="12803" max="12803" width="11.5" style="64" customWidth="1"/>
    <col min="12804" max="12804" width="10.125" style="64" customWidth="1"/>
    <col min="12805" max="12805" width="4.375" style="64" customWidth="1"/>
    <col min="12806" max="12806" width="9.5" style="64" customWidth="1"/>
    <col min="12807" max="12807" width="9" style="64" customWidth="1"/>
    <col min="12808" max="12808" width="10" style="64" customWidth="1"/>
    <col min="12809" max="12809" width="9.375" style="64" customWidth="1"/>
    <col min="12810" max="12810" width="1.5" style="64" customWidth="1"/>
    <col min="12811" max="12839" width="3.125" style="64" customWidth="1"/>
    <col min="12840" max="13054" width="10" style="64"/>
    <col min="13055" max="13055" width="1.5" style="64" customWidth="1"/>
    <col min="13056" max="13056" width="9.375" style="64" customWidth="1"/>
    <col min="13057" max="13057" width="11" style="64" customWidth="1"/>
    <col min="13058" max="13058" width="9.5" style="64" customWidth="1"/>
    <col min="13059" max="13059" width="11.5" style="64" customWidth="1"/>
    <col min="13060" max="13060" width="10.125" style="64" customWidth="1"/>
    <col min="13061" max="13061" width="4.375" style="64" customWidth="1"/>
    <col min="13062" max="13062" width="9.5" style="64" customWidth="1"/>
    <col min="13063" max="13063" width="9" style="64" customWidth="1"/>
    <col min="13064" max="13064" width="10" style="64" customWidth="1"/>
    <col min="13065" max="13065" width="9.375" style="64" customWidth="1"/>
    <col min="13066" max="13066" width="1.5" style="64" customWidth="1"/>
    <col min="13067" max="13095" width="3.125" style="64" customWidth="1"/>
    <col min="13096" max="13310" width="10" style="64"/>
    <col min="13311" max="13311" width="1.5" style="64" customWidth="1"/>
    <col min="13312" max="13312" width="9.375" style="64" customWidth="1"/>
    <col min="13313" max="13313" width="11" style="64" customWidth="1"/>
    <col min="13314" max="13314" width="9.5" style="64" customWidth="1"/>
    <col min="13315" max="13315" width="11.5" style="64" customWidth="1"/>
    <col min="13316" max="13316" width="10.125" style="64" customWidth="1"/>
    <col min="13317" max="13317" width="4.375" style="64" customWidth="1"/>
    <col min="13318" max="13318" width="9.5" style="64" customWidth="1"/>
    <col min="13319" max="13319" width="9" style="64" customWidth="1"/>
    <col min="13320" max="13320" width="10" style="64" customWidth="1"/>
    <col min="13321" max="13321" width="9.375" style="64" customWidth="1"/>
    <col min="13322" max="13322" width="1.5" style="64" customWidth="1"/>
    <col min="13323" max="13351" width="3.125" style="64" customWidth="1"/>
    <col min="13352" max="13566" width="10" style="64"/>
    <col min="13567" max="13567" width="1.5" style="64" customWidth="1"/>
    <col min="13568" max="13568" width="9.375" style="64" customWidth="1"/>
    <col min="13569" max="13569" width="11" style="64" customWidth="1"/>
    <col min="13570" max="13570" width="9.5" style="64" customWidth="1"/>
    <col min="13571" max="13571" width="11.5" style="64" customWidth="1"/>
    <col min="13572" max="13572" width="10.125" style="64" customWidth="1"/>
    <col min="13573" max="13573" width="4.375" style="64" customWidth="1"/>
    <col min="13574" max="13574" width="9.5" style="64" customWidth="1"/>
    <col min="13575" max="13575" width="9" style="64" customWidth="1"/>
    <col min="13576" max="13576" width="10" style="64" customWidth="1"/>
    <col min="13577" max="13577" width="9.375" style="64" customWidth="1"/>
    <col min="13578" max="13578" width="1.5" style="64" customWidth="1"/>
    <col min="13579" max="13607" width="3.125" style="64" customWidth="1"/>
    <col min="13608" max="13822" width="10" style="64"/>
    <col min="13823" max="13823" width="1.5" style="64" customWidth="1"/>
    <col min="13824" max="13824" width="9.375" style="64" customWidth="1"/>
    <col min="13825" max="13825" width="11" style="64" customWidth="1"/>
    <col min="13826" max="13826" width="9.5" style="64" customWidth="1"/>
    <col min="13827" max="13827" width="11.5" style="64" customWidth="1"/>
    <col min="13828" max="13828" width="10.125" style="64" customWidth="1"/>
    <col min="13829" max="13829" width="4.375" style="64" customWidth="1"/>
    <col min="13830" max="13830" width="9.5" style="64" customWidth="1"/>
    <col min="13831" max="13831" width="9" style="64" customWidth="1"/>
    <col min="13832" max="13832" width="10" style="64" customWidth="1"/>
    <col min="13833" max="13833" width="9.375" style="64" customWidth="1"/>
    <col min="13834" max="13834" width="1.5" style="64" customWidth="1"/>
    <col min="13835" max="13863" width="3.125" style="64" customWidth="1"/>
    <col min="13864" max="14078" width="10" style="64"/>
    <col min="14079" max="14079" width="1.5" style="64" customWidth="1"/>
    <col min="14080" max="14080" width="9.375" style="64" customWidth="1"/>
    <col min="14081" max="14081" width="11" style="64" customWidth="1"/>
    <col min="14082" max="14082" width="9.5" style="64" customWidth="1"/>
    <col min="14083" max="14083" width="11.5" style="64" customWidth="1"/>
    <col min="14084" max="14084" width="10.125" style="64" customWidth="1"/>
    <col min="14085" max="14085" width="4.375" style="64" customWidth="1"/>
    <col min="14086" max="14086" width="9.5" style="64" customWidth="1"/>
    <col min="14087" max="14087" width="9" style="64" customWidth="1"/>
    <col min="14088" max="14088" width="10" style="64" customWidth="1"/>
    <col min="14089" max="14089" width="9.375" style="64" customWidth="1"/>
    <col min="14090" max="14090" width="1.5" style="64" customWidth="1"/>
    <col min="14091" max="14119" width="3.125" style="64" customWidth="1"/>
    <col min="14120" max="14334" width="10" style="64"/>
    <col min="14335" max="14335" width="1.5" style="64" customWidth="1"/>
    <col min="14336" max="14336" width="9.375" style="64" customWidth="1"/>
    <col min="14337" max="14337" width="11" style="64" customWidth="1"/>
    <col min="14338" max="14338" width="9.5" style="64" customWidth="1"/>
    <col min="14339" max="14339" width="11.5" style="64" customWidth="1"/>
    <col min="14340" max="14340" width="10.125" style="64" customWidth="1"/>
    <col min="14341" max="14341" width="4.375" style="64" customWidth="1"/>
    <col min="14342" max="14342" width="9.5" style="64" customWidth="1"/>
    <col min="14343" max="14343" width="9" style="64" customWidth="1"/>
    <col min="14344" max="14344" width="10" style="64" customWidth="1"/>
    <col min="14345" max="14345" width="9.375" style="64" customWidth="1"/>
    <col min="14346" max="14346" width="1.5" style="64" customWidth="1"/>
    <col min="14347" max="14375" width="3.125" style="64" customWidth="1"/>
    <col min="14376" max="14590" width="10" style="64"/>
    <col min="14591" max="14591" width="1.5" style="64" customWidth="1"/>
    <col min="14592" max="14592" width="9.375" style="64" customWidth="1"/>
    <col min="14593" max="14593" width="11" style="64" customWidth="1"/>
    <col min="14594" max="14594" width="9.5" style="64" customWidth="1"/>
    <col min="14595" max="14595" width="11.5" style="64" customWidth="1"/>
    <col min="14596" max="14596" width="10.125" style="64" customWidth="1"/>
    <col min="14597" max="14597" width="4.375" style="64" customWidth="1"/>
    <col min="14598" max="14598" width="9.5" style="64" customWidth="1"/>
    <col min="14599" max="14599" width="9" style="64" customWidth="1"/>
    <col min="14600" max="14600" width="10" style="64" customWidth="1"/>
    <col min="14601" max="14601" width="9.375" style="64" customWidth="1"/>
    <col min="14602" max="14602" width="1.5" style="64" customWidth="1"/>
    <col min="14603" max="14631" width="3.125" style="64" customWidth="1"/>
    <col min="14632" max="14846" width="10" style="64"/>
    <col min="14847" max="14847" width="1.5" style="64" customWidth="1"/>
    <col min="14848" max="14848" width="9.375" style="64" customWidth="1"/>
    <col min="14849" max="14849" width="11" style="64" customWidth="1"/>
    <col min="14850" max="14850" width="9.5" style="64" customWidth="1"/>
    <col min="14851" max="14851" width="11.5" style="64" customWidth="1"/>
    <col min="14852" max="14852" width="10.125" style="64" customWidth="1"/>
    <col min="14853" max="14853" width="4.375" style="64" customWidth="1"/>
    <col min="14854" max="14854" width="9.5" style="64" customWidth="1"/>
    <col min="14855" max="14855" width="9" style="64" customWidth="1"/>
    <col min="14856" max="14856" width="10" style="64" customWidth="1"/>
    <col min="14857" max="14857" width="9.375" style="64" customWidth="1"/>
    <col min="14858" max="14858" width="1.5" style="64" customWidth="1"/>
    <col min="14859" max="14887" width="3.125" style="64" customWidth="1"/>
    <col min="14888" max="15102" width="10" style="64"/>
    <col min="15103" max="15103" width="1.5" style="64" customWidth="1"/>
    <col min="15104" max="15104" width="9.375" style="64" customWidth="1"/>
    <col min="15105" max="15105" width="11" style="64" customWidth="1"/>
    <col min="15106" max="15106" width="9.5" style="64" customWidth="1"/>
    <col min="15107" max="15107" width="11.5" style="64" customWidth="1"/>
    <col min="15108" max="15108" width="10.125" style="64" customWidth="1"/>
    <col min="15109" max="15109" width="4.375" style="64" customWidth="1"/>
    <col min="15110" max="15110" width="9.5" style="64" customWidth="1"/>
    <col min="15111" max="15111" width="9" style="64" customWidth="1"/>
    <col min="15112" max="15112" width="10" style="64" customWidth="1"/>
    <col min="15113" max="15113" width="9.375" style="64" customWidth="1"/>
    <col min="15114" max="15114" width="1.5" style="64" customWidth="1"/>
    <col min="15115" max="15143" width="3.125" style="64" customWidth="1"/>
    <col min="15144" max="15358" width="10" style="64"/>
    <col min="15359" max="15359" width="1.5" style="64" customWidth="1"/>
    <col min="15360" max="15360" width="9.375" style="64" customWidth="1"/>
    <col min="15361" max="15361" width="11" style="64" customWidth="1"/>
    <col min="15362" max="15362" width="9.5" style="64" customWidth="1"/>
    <col min="15363" max="15363" width="11.5" style="64" customWidth="1"/>
    <col min="15364" max="15364" width="10.125" style="64" customWidth="1"/>
    <col min="15365" max="15365" width="4.375" style="64" customWidth="1"/>
    <col min="15366" max="15366" width="9.5" style="64" customWidth="1"/>
    <col min="15367" max="15367" width="9" style="64" customWidth="1"/>
    <col min="15368" max="15368" width="10" style="64" customWidth="1"/>
    <col min="15369" max="15369" width="9.375" style="64" customWidth="1"/>
    <col min="15370" max="15370" width="1.5" style="64" customWidth="1"/>
    <col min="15371" max="15399" width="3.125" style="64" customWidth="1"/>
    <col min="15400" max="15614" width="10" style="64"/>
    <col min="15615" max="15615" width="1.5" style="64" customWidth="1"/>
    <col min="15616" max="15616" width="9.375" style="64" customWidth="1"/>
    <col min="15617" max="15617" width="11" style="64" customWidth="1"/>
    <col min="15618" max="15618" width="9.5" style="64" customWidth="1"/>
    <col min="15619" max="15619" width="11.5" style="64" customWidth="1"/>
    <col min="15620" max="15620" width="10.125" style="64" customWidth="1"/>
    <col min="15621" max="15621" width="4.375" style="64" customWidth="1"/>
    <col min="15622" max="15622" width="9.5" style="64" customWidth="1"/>
    <col min="15623" max="15623" width="9" style="64" customWidth="1"/>
    <col min="15624" max="15624" width="10" style="64" customWidth="1"/>
    <col min="15625" max="15625" width="9.375" style="64" customWidth="1"/>
    <col min="15626" max="15626" width="1.5" style="64" customWidth="1"/>
    <col min="15627" max="15655" width="3.125" style="64" customWidth="1"/>
    <col min="15656" max="15870" width="10" style="64"/>
    <col min="15871" max="15871" width="1.5" style="64" customWidth="1"/>
    <col min="15872" max="15872" width="9.375" style="64" customWidth="1"/>
    <col min="15873" max="15873" width="11" style="64" customWidth="1"/>
    <col min="15874" max="15874" width="9.5" style="64" customWidth="1"/>
    <col min="15875" max="15875" width="11.5" style="64" customWidth="1"/>
    <col min="15876" max="15876" width="10.125" style="64" customWidth="1"/>
    <col min="15877" max="15877" width="4.375" style="64" customWidth="1"/>
    <col min="15878" max="15878" width="9.5" style="64" customWidth="1"/>
    <col min="15879" max="15879" width="9" style="64" customWidth="1"/>
    <col min="15880" max="15880" width="10" style="64" customWidth="1"/>
    <col min="15881" max="15881" width="9.375" style="64" customWidth="1"/>
    <col min="15882" max="15882" width="1.5" style="64" customWidth="1"/>
    <col min="15883" max="15911" width="3.125" style="64" customWidth="1"/>
    <col min="15912" max="16126" width="10" style="64"/>
    <col min="16127" max="16127" width="1.5" style="64" customWidth="1"/>
    <col min="16128" max="16128" width="9.375" style="64" customWidth="1"/>
    <col min="16129" max="16129" width="11" style="64" customWidth="1"/>
    <col min="16130" max="16130" width="9.5" style="64" customWidth="1"/>
    <col min="16131" max="16131" width="11.5" style="64" customWidth="1"/>
    <col min="16132" max="16132" width="10.125" style="64" customWidth="1"/>
    <col min="16133" max="16133" width="4.375" style="64" customWidth="1"/>
    <col min="16134" max="16134" width="9.5" style="64" customWidth="1"/>
    <col min="16135" max="16135" width="9" style="64" customWidth="1"/>
    <col min="16136" max="16136" width="10" style="64" customWidth="1"/>
    <col min="16137" max="16137" width="9.375" style="64" customWidth="1"/>
    <col min="16138" max="16138" width="1.5" style="64" customWidth="1"/>
    <col min="16139" max="16167" width="3.125" style="64" customWidth="1"/>
    <col min="16168" max="16384" width="10" style="64"/>
  </cols>
  <sheetData>
    <row r="1" ht="15.75" spans="1:12">
      <c r="A1" s="3" t="s">
        <v>880</v>
      </c>
      <c r="B1" s="3"/>
      <c r="C1" s="3"/>
      <c r="D1" s="3"/>
      <c r="E1" s="3"/>
      <c r="F1" s="3"/>
      <c r="G1" s="3"/>
      <c r="H1" s="3"/>
      <c r="I1" s="3"/>
      <c r="K1" s="120"/>
      <c r="L1" s="120"/>
    </row>
    <row r="2" ht="56.1" customHeight="1" spans="1:12">
      <c r="A2" s="65" t="str">
        <f>IF(目录!G2="中文",对照!BD2,IF(目录!G2="English",对照!BE2,对照!BD2))</f>
        <v>锁模力优化报告
Optimized Clamp Force Report</v>
      </c>
      <c r="B2" s="65"/>
      <c r="C2" s="65"/>
      <c r="D2" s="65"/>
      <c r="E2" s="65"/>
      <c r="F2" s="65"/>
      <c r="G2" s="65"/>
      <c r="H2" s="65"/>
      <c r="I2" s="65"/>
      <c r="J2" s="130"/>
      <c r="K2" s="120"/>
      <c r="L2" s="120"/>
    </row>
    <row r="3" ht="15.95" customHeight="1" spans="1:12">
      <c r="A3" s="66" t="str">
        <f>IF(目录!G2="中文",对照!AU3,IF(目录!G2="English",对照!AV3,对照!AU3))</f>
        <v>优化操作者
Operator</v>
      </c>
      <c r="B3" s="67"/>
      <c r="C3" s="68" t="str">
        <f>IF(目录!G2="中文",对照!BD3,IF(目录!G2="English",对照!BE3,对照!BD3))</f>
        <v>优化的锁模力
Opt. clamp force</v>
      </c>
      <c r="D3" s="69"/>
      <c r="E3" s="70" t="s">
        <v>1140</v>
      </c>
      <c r="F3" s="71" t="str">
        <f>IF(目录!G2="中文",对照!BD4,IF(目录!G2="English",对照!BE4,对照!BD4))</f>
        <v>当前最大保压压力
Cur. Max. Hld. Pres.</v>
      </c>
      <c r="G3" s="66"/>
      <c r="H3" s="72"/>
      <c r="I3" s="131"/>
      <c r="J3" s="120"/>
      <c r="K3" s="120"/>
      <c r="L3" s="120"/>
    </row>
    <row r="4" ht="15.95" customHeight="1" spans="1:12">
      <c r="A4" s="66"/>
      <c r="B4" s="73"/>
      <c r="C4" s="68"/>
      <c r="D4" s="74"/>
      <c r="E4" s="75"/>
      <c r="F4" s="71"/>
      <c r="G4" s="66"/>
      <c r="H4" s="76"/>
      <c r="I4" s="132"/>
      <c r="J4" s="120"/>
      <c r="K4" s="120"/>
      <c r="L4" s="120"/>
    </row>
    <row r="5" ht="15.95" customHeight="1" spans="1:12">
      <c r="A5" s="77"/>
      <c r="B5" s="78"/>
      <c r="C5" s="77"/>
      <c r="D5" s="79"/>
      <c r="E5" s="79"/>
      <c r="F5" s="80"/>
      <c r="G5" s="80"/>
      <c r="H5" s="81"/>
      <c r="I5" s="120"/>
      <c r="J5" s="120"/>
      <c r="K5" s="120"/>
      <c r="L5" s="120"/>
    </row>
    <row r="6" ht="15.95" customHeight="1" spans="1:12">
      <c r="A6" s="66" t="str">
        <f>IF(目录!G2="中文",对照!AU4,IF(目录!G2="English",对照!AV4,对照!AU4))</f>
        <v>优化日期
Date</v>
      </c>
      <c r="B6" s="82"/>
      <c r="C6" s="68" t="str">
        <f>IF(目录!G2="中文",对照!BD5,IF(目录!G2="English",对照!BE5,对照!BD5))</f>
        <v>注塑机最高锁模力
Max. clamp force </v>
      </c>
      <c r="D6" s="83"/>
      <c r="E6" s="70" t="s">
        <v>1140</v>
      </c>
      <c r="F6" s="84"/>
      <c r="G6" s="84"/>
      <c r="H6" s="85"/>
      <c r="I6" s="133"/>
      <c r="J6" s="120"/>
      <c r="K6" s="120"/>
      <c r="L6" s="120"/>
    </row>
    <row r="7" ht="15.95" customHeight="1" spans="1:12">
      <c r="A7" s="66"/>
      <c r="B7" s="86"/>
      <c r="C7" s="68"/>
      <c r="D7" s="87"/>
      <c r="E7" s="75"/>
      <c r="F7" s="84"/>
      <c r="G7" s="84"/>
      <c r="H7" s="85"/>
      <c r="I7" s="133"/>
      <c r="J7" s="120"/>
      <c r="K7" s="120"/>
      <c r="L7" s="120"/>
    </row>
    <row r="8" ht="15.95" customHeight="1" spans="1:12">
      <c r="A8" s="88"/>
      <c r="B8" s="89"/>
      <c r="C8" s="80"/>
      <c r="D8" s="90"/>
      <c r="E8" s="91"/>
      <c r="F8" s="92"/>
      <c r="G8" s="92"/>
      <c r="H8" s="93"/>
      <c r="I8" s="134"/>
      <c r="J8" s="120"/>
      <c r="K8" s="120"/>
      <c r="L8" s="120"/>
    </row>
    <row r="9" ht="15.95" customHeight="1" spans="1:12">
      <c r="A9" s="94" t="str">
        <f>IF(目录!G2="中文",对照!AU6,IF(目录!G2="English",对照!AV6,对照!AU6))</f>
        <v>序号
Item</v>
      </c>
      <c r="B9" s="95" t="s">
        <v>1768</v>
      </c>
      <c r="C9" s="96" t="s">
        <v>1769</v>
      </c>
      <c r="D9" s="97" t="s">
        <v>1770</v>
      </c>
      <c r="E9" s="97"/>
      <c r="F9" s="97"/>
      <c r="G9" s="98" t="str">
        <f>IF(目录!G2="中文",对照!BD10,IF(目录!G2="English",对照!BE10,对照!BD10))</f>
        <v>质量描述
Quality description</v>
      </c>
      <c r="H9" s="98"/>
      <c r="I9" s="135"/>
      <c r="J9" s="120"/>
      <c r="K9" s="120"/>
      <c r="L9" s="120"/>
    </row>
    <row r="10" ht="15.95" customHeight="1" spans="1:12">
      <c r="A10" s="99"/>
      <c r="B10" s="100" t="s">
        <v>1771</v>
      </c>
      <c r="C10" s="100" t="s">
        <v>294</v>
      </c>
      <c r="D10" s="101" t="s">
        <v>1613</v>
      </c>
      <c r="E10" s="101" t="s">
        <v>1614</v>
      </c>
      <c r="F10" s="101" t="s">
        <v>1615</v>
      </c>
      <c r="G10" s="102"/>
      <c r="H10" s="102"/>
      <c r="I10" s="136"/>
      <c r="J10" s="120"/>
      <c r="K10" s="120"/>
      <c r="L10" s="120"/>
    </row>
    <row r="11" ht="24" customHeight="1" spans="1:12">
      <c r="A11" s="103">
        <v>1</v>
      </c>
      <c r="B11" s="104"/>
      <c r="C11" s="104"/>
      <c r="D11" s="105"/>
      <c r="E11" s="106"/>
      <c r="F11" s="107"/>
      <c r="G11" s="108"/>
      <c r="H11" s="109"/>
      <c r="I11" s="137"/>
      <c r="J11" s="120"/>
      <c r="K11" s="120"/>
      <c r="L11" s="120"/>
    </row>
    <row r="12" ht="24" customHeight="1" spans="1:12">
      <c r="A12" s="110">
        <v>2</v>
      </c>
      <c r="B12" s="104"/>
      <c r="C12" s="104"/>
      <c r="D12" s="105"/>
      <c r="E12" s="106"/>
      <c r="F12" s="107"/>
      <c r="G12" s="108"/>
      <c r="H12" s="109"/>
      <c r="I12" s="137"/>
      <c r="J12" s="120"/>
      <c r="K12" s="120"/>
      <c r="L12" s="120"/>
    </row>
    <row r="13" ht="24" customHeight="1" spans="1:12">
      <c r="A13" s="110">
        <v>3</v>
      </c>
      <c r="B13" s="104"/>
      <c r="C13" s="104"/>
      <c r="D13" s="105"/>
      <c r="E13" s="106"/>
      <c r="F13" s="107"/>
      <c r="G13" s="108"/>
      <c r="H13" s="109"/>
      <c r="I13" s="137"/>
      <c r="J13" s="120"/>
      <c r="K13" s="120"/>
      <c r="L13" s="120"/>
    </row>
    <row r="14" ht="24" customHeight="1" spans="1:12">
      <c r="A14" s="110">
        <v>4</v>
      </c>
      <c r="B14" s="104"/>
      <c r="C14" s="104"/>
      <c r="D14" s="105"/>
      <c r="E14" s="106"/>
      <c r="F14" s="107"/>
      <c r="G14" s="108"/>
      <c r="H14" s="109"/>
      <c r="I14" s="137"/>
      <c r="J14" s="120"/>
      <c r="K14" s="120"/>
      <c r="L14" s="120"/>
    </row>
    <row r="15" ht="24" customHeight="1" spans="1:12">
      <c r="A15" s="110">
        <v>5</v>
      </c>
      <c r="B15" s="104"/>
      <c r="C15" s="104"/>
      <c r="D15" s="105"/>
      <c r="E15" s="106"/>
      <c r="F15" s="107"/>
      <c r="G15" s="108"/>
      <c r="H15" s="109"/>
      <c r="I15" s="137"/>
      <c r="J15" s="120"/>
      <c r="K15" s="120"/>
      <c r="L15" s="120"/>
    </row>
    <row r="16" ht="24" customHeight="1" spans="1:12">
      <c r="A16" s="110">
        <v>6</v>
      </c>
      <c r="B16" s="104"/>
      <c r="C16" s="104"/>
      <c r="D16" s="105"/>
      <c r="E16" s="106"/>
      <c r="F16" s="107"/>
      <c r="G16" s="108"/>
      <c r="H16" s="109"/>
      <c r="I16" s="137"/>
      <c r="J16" s="120"/>
      <c r="K16" s="120"/>
      <c r="L16" s="120"/>
    </row>
    <row r="17" ht="24" customHeight="1" spans="1:12">
      <c r="A17" s="110">
        <v>7</v>
      </c>
      <c r="B17" s="104"/>
      <c r="C17" s="104"/>
      <c r="D17" s="105"/>
      <c r="E17" s="106"/>
      <c r="F17" s="107"/>
      <c r="G17" s="108"/>
      <c r="H17" s="109"/>
      <c r="I17" s="137"/>
      <c r="J17" s="120"/>
      <c r="K17" s="120"/>
      <c r="L17" s="120"/>
    </row>
    <row r="18" ht="24" customHeight="1" spans="1:12">
      <c r="A18" s="110">
        <v>8</v>
      </c>
      <c r="B18" s="104"/>
      <c r="C18" s="104"/>
      <c r="D18" s="105"/>
      <c r="E18" s="106"/>
      <c r="F18" s="107"/>
      <c r="G18" s="108"/>
      <c r="H18" s="109"/>
      <c r="I18" s="137"/>
      <c r="J18" s="120"/>
      <c r="K18" s="120"/>
      <c r="L18" s="120"/>
    </row>
    <row r="19" ht="24" customHeight="1" spans="1:12">
      <c r="A19" s="110">
        <v>9</v>
      </c>
      <c r="B19" s="104"/>
      <c r="C19" s="104"/>
      <c r="D19" s="105"/>
      <c r="E19" s="106"/>
      <c r="F19" s="107"/>
      <c r="G19" s="108"/>
      <c r="H19" s="109"/>
      <c r="I19" s="137"/>
      <c r="J19" s="120"/>
      <c r="K19" s="120"/>
      <c r="L19" s="120"/>
    </row>
    <row r="20" ht="24" customHeight="1" spans="1:12">
      <c r="A20" s="111">
        <v>10</v>
      </c>
      <c r="B20" s="112"/>
      <c r="C20" s="112"/>
      <c r="D20" s="113"/>
      <c r="E20" s="114"/>
      <c r="F20" s="115"/>
      <c r="G20" s="116"/>
      <c r="H20" s="117"/>
      <c r="I20" s="138"/>
      <c r="J20" s="120"/>
      <c r="K20" s="120"/>
      <c r="L20" s="120"/>
    </row>
    <row r="21" ht="15.95" customHeight="1" spans="1:12">
      <c r="A21" s="118"/>
      <c r="B21" s="118"/>
      <c r="C21" s="118"/>
      <c r="D21" s="118"/>
      <c r="E21" s="118"/>
      <c r="F21" s="119"/>
      <c r="G21" s="119"/>
      <c r="H21" s="119"/>
      <c r="I21" s="119"/>
      <c r="J21" s="139"/>
      <c r="K21" s="120"/>
      <c r="L21" s="120"/>
    </row>
    <row r="22" ht="15.95" customHeight="1" spans="1:12">
      <c r="A22" s="118"/>
      <c r="B22" s="118"/>
      <c r="C22" s="118"/>
      <c r="D22" s="118"/>
      <c r="E22" s="118"/>
      <c r="F22" s="119"/>
      <c r="G22" s="119"/>
      <c r="H22" s="119"/>
      <c r="I22" s="119"/>
      <c r="J22" s="139"/>
      <c r="K22" s="120"/>
      <c r="L22" s="120"/>
    </row>
    <row r="23" ht="15.95" customHeight="1" spans="1:12">
      <c r="A23" s="118"/>
      <c r="B23" s="118"/>
      <c r="C23" s="118"/>
      <c r="D23" s="118"/>
      <c r="E23" s="118"/>
      <c r="F23" s="119"/>
      <c r="G23" s="119"/>
      <c r="H23" s="119"/>
      <c r="I23" s="119"/>
      <c r="J23" s="139"/>
      <c r="K23" s="120"/>
      <c r="L23" s="120"/>
    </row>
    <row r="24" ht="15.95" customHeight="1" spans="1:12">
      <c r="A24" s="118"/>
      <c r="B24" s="118"/>
      <c r="C24" s="118"/>
      <c r="D24" s="118"/>
      <c r="E24" s="118"/>
      <c r="F24" s="119"/>
      <c r="G24" s="119"/>
      <c r="H24" s="119"/>
      <c r="I24" s="119"/>
      <c r="J24" s="139"/>
      <c r="K24" s="120"/>
      <c r="L24" s="120"/>
    </row>
    <row r="25" ht="15.95" customHeight="1" spans="1:12">
      <c r="A25" s="118"/>
      <c r="B25" s="118"/>
      <c r="C25" s="118"/>
      <c r="D25" s="118"/>
      <c r="E25" s="118"/>
      <c r="F25" s="119"/>
      <c r="G25" s="119"/>
      <c r="H25" s="119"/>
      <c r="I25" s="119"/>
      <c r="J25" s="139"/>
      <c r="K25" s="120"/>
      <c r="L25" s="120"/>
    </row>
    <row r="26" ht="15.95" customHeight="1" spans="1:12">
      <c r="A26" s="118"/>
      <c r="B26" s="118"/>
      <c r="C26" s="118"/>
      <c r="D26" s="118"/>
      <c r="E26" s="118"/>
      <c r="F26" s="119"/>
      <c r="G26" s="119"/>
      <c r="H26" s="119"/>
      <c r="I26" s="119"/>
      <c r="J26" s="139"/>
      <c r="K26" s="120"/>
      <c r="L26" s="120"/>
    </row>
    <row r="27" ht="15.95" customHeight="1" spans="1:12">
      <c r="A27" s="118"/>
      <c r="B27" s="118"/>
      <c r="C27" s="118"/>
      <c r="D27" s="118"/>
      <c r="E27" s="118"/>
      <c r="F27" s="119"/>
      <c r="G27" s="119"/>
      <c r="H27" s="119"/>
      <c r="I27" s="119"/>
      <c r="J27" s="139"/>
      <c r="K27" s="120"/>
      <c r="L27" s="120"/>
    </row>
    <row r="28" ht="15.95" customHeight="1" spans="1:12">
      <c r="A28" s="118"/>
      <c r="B28" s="118"/>
      <c r="C28" s="118"/>
      <c r="D28" s="118"/>
      <c r="E28" s="118"/>
      <c r="F28" s="119"/>
      <c r="G28" s="119"/>
      <c r="H28" s="119"/>
      <c r="I28" s="119"/>
      <c r="J28" s="139"/>
      <c r="K28" s="120"/>
      <c r="L28" s="120"/>
    </row>
    <row r="29" ht="15.95" customHeight="1" spans="1:12">
      <c r="A29" s="118"/>
      <c r="B29" s="118"/>
      <c r="C29" s="118"/>
      <c r="D29" s="118"/>
      <c r="E29" s="118"/>
      <c r="F29" s="119"/>
      <c r="G29" s="119"/>
      <c r="H29" s="119"/>
      <c r="I29" s="119"/>
      <c r="J29" s="139"/>
      <c r="K29" s="120"/>
      <c r="L29" s="120"/>
    </row>
    <row r="30" ht="15.95" customHeight="1" spans="1:12">
      <c r="A30" s="118"/>
      <c r="B30" s="118"/>
      <c r="C30" s="118"/>
      <c r="D30" s="118"/>
      <c r="E30" s="118"/>
      <c r="F30" s="119"/>
      <c r="G30" s="119"/>
      <c r="H30" s="119"/>
      <c r="I30" s="119"/>
      <c r="J30" s="139"/>
      <c r="K30" s="120"/>
      <c r="L30" s="120"/>
    </row>
    <row r="31" ht="15.95" customHeight="1" spans="1:12">
      <c r="A31" s="118"/>
      <c r="B31" s="118"/>
      <c r="C31" s="118"/>
      <c r="D31" s="118"/>
      <c r="E31" s="118"/>
      <c r="F31" s="119"/>
      <c r="G31" s="119"/>
      <c r="H31" s="119"/>
      <c r="I31" s="119"/>
      <c r="J31" s="139"/>
      <c r="K31" s="120"/>
      <c r="L31" s="120"/>
    </row>
    <row r="32" ht="15.95" customHeight="1" spans="1:12">
      <c r="A32" s="118"/>
      <c r="B32" s="118"/>
      <c r="C32" s="118"/>
      <c r="D32" s="118"/>
      <c r="E32" s="118"/>
      <c r="F32" s="119"/>
      <c r="G32" s="119"/>
      <c r="H32" s="119"/>
      <c r="I32" s="119"/>
      <c r="J32" s="139"/>
      <c r="K32" s="120"/>
      <c r="L32" s="120"/>
    </row>
    <row r="33" ht="15.95" customHeight="1" spans="1:12">
      <c r="A33" s="118"/>
      <c r="B33" s="118"/>
      <c r="C33" s="118"/>
      <c r="D33" s="118"/>
      <c r="E33" s="118"/>
      <c r="F33" s="119"/>
      <c r="G33" s="119"/>
      <c r="H33" s="119"/>
      <c r="I33" s="119"/>
      <c r="J33" s="139"/>
      <c r="K33" s="120"/>
      <c r="L33" s="120"/>
    </row>
    <row r="34" ht="15.95" customHeight="1" spans="1:12">
      <c r="A34" s="118"/>
      <c r="B34" s="118"/>
      <c r="C34" s="118"/>
      <c r="D34" s="118"/>
      <c r="E34" s="118"/>
      <c r="F34" s="119"/>
      <c r="G34" s="119"/>
      <c r="H34" s="119"/>
      <c r="I34" s="119"/>
      <c r="J34" s="139"/>
      <c r="K34" s="120"/>
      <c r="L34" s="120"/>
    </row>
    <row r="35" ht="15.95" customHeight="1" spans="1:12">
      <c r="A35" s="118"/>
      <c r="B35" s="118"/>
      <c r="C35" s="118"/>
      <c r="D35" s="118"/>
      <c r="E35" s="118"/>
      <c r="F35" s="119"/>
      <c r="G35" s="119"/>
      <c r="H35" s="119"/>
      <c r="I35" s="119"/>
      <c r="J35" s="139"/>
      <c r="K35" s="120"/>
      <c r="L35" s="120"/>
    </row>
    <row r="36" ht="15.95" customHeight="1" spans="1:12">
      <c r="A36" s="118"/>
      <c r="B36" s="118"/>
      <c r="C36" s="118"/>
      <c r="D36" s="118"/>
      <c r="E36" s="118"/>
      <c r="F36" s="119"/>
      <c r="G36" s="119"/>
      <c r="H36" s="119"/>
      <c r="I36" s="119"/>
      <c r="J36" s="139"/>
      <c r="K36" s="120"/>
      <c r="L36" s="120"/>
    </row>
    <row r="37" ht="15.95" customHeight="1" spans="1:12">
      <c r="A37" s="61"/>
      <c r="B37" s="61"/>
      <c r="C37" s="61"/>
      <c r="D37" s="61"/>
      <c r="E37" s="61"/>
      <c r="F37" s="120"/>
      <c r="G37" s="120"/>
      <c r="H37" s="120"/>
      <c r="I37" s="120"/>
      <c r="J37" s="120"/>
      <c r="K37" s="120"/>
      <c r="L37" s="120"/>
    </row>
    <row r="38" ht="15.95" customHeight="1" spans="1:12">
      <c r="A38" s="121"/>
      <c r="B38" s="61"/>
      <c r="C38" s="61"/>
      <c r="D38" s="61"/>
      <c r="E38" s="61"/>
      <c r="F38" s="120"/>
      <c r="G38" s="120"/>
      <c r="H38" s="120"/>
      <c r="I38" s="120"/>
      <c r="J38" s="120"/>
      <c r="K38" s="120"/>
      <c r="L38" s="120"/>
    </row>
    <row r="39" ht="15.95" customHeight="1" spans="1:12">
      <c r="A39" s="121"/>
      <c r="B39" s="61"/>
      <c r="C39" s="61"/>
      <c r="D39" s="61"/>
      <c r="E39" s="61"/>
      <c r="F39" s="120"/>
      <c r="G39" s="120"/>
      <c r="H39" s="120"/>
      <c r="I39" s="120"/>
      <c r="J39" s="120"/>
      <c r="K39" s="120"/>
      <c r="L39" s="120"/>
    </row>
    <row r="40" s="62" customFormat="1" ht="15.95" customHeight="1" spans="1:9">
      <c r="A40" s="122" t="s">
        <v>1767</v>
      </c>
      <c r="B40" s="122"/>
      <c r="C40" s="122"/>
      <c r="D40" s="122"/>
      <c r="E40" s="122"/>
      <c r="F40" s="122"/>
      <c r="G40" s="122"/>
      <c r="H40" s="122"/>
      <c r="I40" s="122"/>
    </row>
    <row r="41" s="62" customFormat="1" ht="15.95" customHeight="1" spans="1:9">
      <c r="A41" s="123"/>
      <c r="B41" s="123"/>
      <c r="C41" s="123"/>
      <c r="D41" s="123"/>
      <c r="E41" s="123"/>
      <c r="F41" s="123"/>
      <c r="G41" s="123"/>
      <c r="H41" s="123"/>
      <c r="I41" s="123"/>
    </row>
    <row r="42" s="62" customFormat="1" ht="15.95" customHeight="1" spans="1:9">
      <c r="A42" s="124"/>
      <c r="B42" s="125"/>
      <c r="C42" s="125"/>
      <c r="D42" s="125"/>
      <c r="E42" s="125"/>
      <c r="F42" s="125"/>
      <c r="G42" s="125"/>
      <c r="H42" s="125"/>
      <c r="I42" s="140"/>
    </row>
    <row r="43" s="62" customFormat="1" ht="15.95" customHeight="1" spans="1:9">
      <c r="A43" s="126"/>
      <c r="B43" s="127"/>
      <c r="C43" s="127"/>
      <c r="D43" s="127"/>
      <c r="E43" s="127"/>
      <c r="F43" s="127"/>
      <c r="G43" s="127"/>
      <c r="H43" s="127"/>
      <c r="I43" s="141"/>
    </row>
    <row r="44" s="62" customFormat="1" ht="15.95" customHeight="1" spans="1:9">
      <c r="A44" s="126"/>
      <c r="B44" s="127"/>
      <c r="C44" s="127"/>
      <c r="D44" s="127"/>
      <c r="E44" s="127"/>
      <c r="F44" s="127"/>
      <c r="G44" s="127"/>
      <c r="H44" s="127"/>
      <c r="I44" s="141"/>
    </row>
    <row r="45" s="62" customFormat="1" ht="15.95" customHeight="1" spans="1:9">
      <c r="A45" s="126"/>
      <c r="B45" s="127"/>
      <c r="C45" s="127"/>
      <c r="D45" s="127"/>
      <c r="E45" s="127"/>
      <c r="F45" s="127"/>
      <c r="G45" s="127"/>
      <c r="H45" s="127"/>
      <c r="I45" s="141"/>
    </row>
    <row r="46" s="62" customFormat="1" ht="15.95" customHeight="1" spans="1:9">
      <c r="A46" s="126"/>
      <c r="B46" s="127"/>
      <c r="C46" s="127"/>
      <c r="D46" s="127"/>
      <c r="E46" s="127"/>
      <c r="F46" s="127"/>
      <c r="G46" s="127"/>
      <c r="H46" s="127"/>
      <c r="I46" s="141"/>
    </row>
    <row r="47" s="62" customFormat="1" ht="15.95" customHeight="1" spans="1:9">
      <c r="A47" s="126"/>
      <c r="B47" s="127"/>
      <c r="C47" s="127"/>
      <c r="D47" s="127"/>
      <c r="E47" s="127"/>
      <c r="F47" s="127"/>
      <c r="G47" s="127"/>
      <c r="H47" s="127"/>
      <c r="I47" s="141"/>
    </row>
    <row r="48" s="62" customFormat="1" ht="15.95" customHeight="1" spans="1:9">
      <c r="A48" s="126"/>
      <c r="B48" s="127"/>
      <c r="C48" s="127"/>
      <c r="D48" s="127"/>
      <c r="E48" s="127"/>
      <c r="F48" s="127"/>
      <c r="G48" s="127"/>
      <c r="H48" s="127"/>
      <c r="I48" s="141"/>
    </row>
    <row r="49" s="62" customFormat="1" ht="15.95" customHeight="1" spans="1:9">
      <c r="A49" s="128"/>
      <c r="B49" s="129"/>
      <c r="C49" s="129"/>
      <c r="D49" s="129"/>
      <c r="E49" s="129"/>
      <c r="F49" s="129"/>
      <c r="G49" s="129"/>
      <c r="H49" s="129"/>
      <c r="I49" s="142"/>
    </row>
    <row r="50" spans="1:12">
      <c r="A50" s="61"/>
      <c r="B50" s="61"/>
      <c r="C50" s="61"/>
      <c r="D50" s="61"/>
      <c r="E50" s="61"/>
      <c r="F50" s="120"/>
      <c r="G50" s="120"/>
      <c r="H50" s="120" t="s">
        <v>1717</v>
      </c>
      <c r="I50" s="120"/>
      <c r="J50" s="120"/>
      <c r="K50" s="120"/>
      <c r="L50" s="120"/>
    </row>
    <row r="51" spans="1:10">
      <c r="A51" s="61"/>
      <c r="B51" s="61"/>
      <c r="C51" s="61"/>
      <c r="D51" s="61"/>
      <c r="E51" s="61"/>
      <c r="F51" s="120"/>
      <c r="G51" s="120"/>
      <c r="H51" s="120"/>
      <c r="I51" s="120"/>
      <c r="J51" s="120"/>
    </row>
  </sheetData>
  <mergeCells count="32">
    <mergeCell ref="A1:I1"/>
    <mergeCell ref="A2:I2"/>
    <mergeCell ref="D9:F9"/>
    <mergeCell ref="G11:I11"/>
    <mergeCell ref="G12:I12"/>
    <mergeCell ref="G13:I13"/>
    <mergeCell ref="G14:I14"/>
    <mergeCell ref="G15:I15"/>
    <mergeCell ref="G16:I16"/>
    <mergeCell ref="G17:I17"/>
    <mergeCell ref="G18:I18"/>
    <mergeCell ref="G19:I19"/>
    <mergeCell ref="G20:I20"/>
    <mergeCell ref="A3:A4"/>
    <mergeCell ref="A6:A7"/>
    <mergeCell ref="A9:A10"/>
    <mergeCell ref="B3:B4"/>
    <mergeCell ref="B6:B7"/>
    <mergeCell ref="C3:C4"/>
    <mergeCell ref="C6:C7"/>
    <mergeCell ref="D3:D4"/>
    <mergeCell ref="D6:D7"/>
    <mergeCell ref="E3:E4"/>
    <mergeCell ref="E6:E7"/>
    <mergeCell ref="H3:H4"/>
    <mergeCell ref="H6:H7"/>
    <mergeCell ref="I3:I4"/>
    <mergeCell ref="I6:I7"/>
    <mergeCell ref="G9:I10"/>
    <mergeCell ref="F3:G4"/>
    <mergeCell ref="A42:I49"/>
    <mergeCell ref="A40:I41"/>
  </mergeCells>
  <hyperlinks>
    <hyperlink ref="A1" location="Catalogue!A1" display="Back"/>
    <hyperlink ref="A1:I1" location="目录!A1" display="Back"/>
  </hyperlinks>
  <pageMargins left="0.7" right="0.7" top="0.75" bottom="0.75" header="0.3" footer="0.3"/>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43"/>
  <sheetViews>
    <sheetView zoomScale="70" zoomScaleNormal="70" workbookViewId="0">
      <selection activeCell="A1" sqref="A1:G1"/>
    </sheetView>
  </sheetViews>
  <sheetFormatPr defaultColWidth="9" defaultRowHeight="14.25"/>
  <cols>
    <col min="1" max="1" width="16" style="1" customWidth="1"/>
    <col min="2" max="2" width="13.375" style="2" customWidth="1"/>
    <col min="3" max="3" width="15.75" style="2" customWidth="1"/>
    <col min="4" max="4" width="5.125" style="1" customWidth="1"/>
    <col min="5" max="5" width="14" style="1" customWidth="1"/>
    <col min="6" max="6" width="13" style="2" customWidth="1"/>
    <col min="7" max="7" width="22.375" style="2" customWidth="1"/>
    <col min="8" max="8" width="9" customWidth="1"/>
    <col min="9" max="9" width="9" style="1" customWidth="1"/>
    <col min="10" max="10" width="9" style="1"/>
    <col min="11" max="11" width="9" style="1" customWidth="1"/>
    <col min="12" max="12" width="9" style="1"/>
    <col min="13" max="13" width="9" style="1" customWidth="1"/>
    <col min="14" max="16384" width="9" style="1"/>
  </cols>
  <sheetData>
    <row r="1" ht="15.75" spans="1:7">
      <c r="A1" s="3" t="s">
        <v>880</v>
      </c>
      <c r="B1" s="3"/>
      <c r="C1" s="3"/>
      <c r="D1" s="3"/>
      <c r="E1" s="3"/>
      <c r="F1" s="3"/>
      <c r="G1" s="3"/>
    </row>
    <row r="2" ht="56.1" customHeight="1" spans="1:12">
      <c r="A2" s="4" t="str">
        <f>IF(目录!G2="中文",对照!BG2,IF(目录!G2="English",对照!BH2,对照!BG2))</f>
        <v>周期时间优化报告
Optimized Cycle Time Report</v>
      </c>
      <c r="B2" s="4"/>
      <c r="C2" s="4"/>
      <c r="D2" s="4"/>
      <c r="E2" s="4"/>
      <c r="F2" s="4"/>
      <c r="G2" s="4"/>
      <c r="I2" s="38"/>
      <c r="J2" s="38"/>
      <c r="K2" s="38"/>
      <c r="L2" s="38"/>
    </row>
    <row r="3" ht="15.95" customHeight="1" spans="1:12">
      <c r="A3" s="5"/>
      <c r="B3" s="6"/>
      <c r="C3" s="6"/>
      <c r="D3" s="7"/>
      <c r="E3" s="8"/>
      <c r="F3" s="6"/>
      <c r="G3" s="9"/>
      <c r="I3" s="38"/>
      <c r="J3" s="38"/>
      <c r="K3" s="38"/>
      <c r="L3" s="38"/>
    </row>
    <row r="4" ht="15.95" customHeight="1" spans="1:12">
      <c r="A4" s="10" t="str">
        <f>IF(目录!G2="中文",对照!BG3,IF(目录!G2="English",对照!BH3,对照!BG3))</f>
        <v>目标周期时间</v>
      </c>
      <c r="B4" s="11"/>
      <c r="C4" s="12"/>
      <c r="D4" s="13"/>
      <c r="E4" s="14" t="str">
        <f>IF(目录!G2="中文",对照!BG4,IF(目录!G2="English",对照!BH4,对照!BG4))</f>
        <v>实际周期时间</v>
      </c>
      <c r="F4" s="15"/>
      <c r="G4" s="16"/>
      <c r="I4" s="55"/>
      <c r="J4" s="55"/>
      <c r="K4" s="55"/>
      <c r="L4" s="55"/>
    </row>
    <row r="5" ht="15.95" customHeight="1" spans="1:12">
      <c r="A5" s="17"/>
      <c r="B5" s="18"/>
      <c r="C5" s="19"/>
      <c r="D5" s="20"/>
      <c r="E5" s="21"/>
      <c r="F5" s="22"/>
      <c r="G5" s="23"/>
      <c r="I5" s="38"/>
      <c r="J5" s="38"/>
      <c r="K5" s="38"/>
      <c r="L5" s="38"/>
    </row>
    <row r="6" ht="15.95" customHeight="1" spans="1:12">
      <c r="A6" s="17" t="str">
        <f>IF(目录!G2="中文",对照!BG7,IF(目录!G2="English",对照!BH7,对照!BG7))</f>
        <v>注射时间</v>
      </c>
      <c r="B6" s="24"/>
      <c r="C6" s="22"/>
      <c r="D6" s="13"/>
      <c r="E6" s="25"/>
      <c r="F6" s="22"/>
      <c r="G6" s="26"/>
      <c r="I6" s="56"/>
      <c r="J6" s="38"/>
      <c r="K6" s="56"/>
      <c r="L6" s="38"/>
    </row>
    <row r="7" ht="15.95" customHeight="1" spans="1:12">
      <c r="A7" s="17" t="str">
        <f>IF(目录!G2="中文",对照!BG8,IF(目录!G2="English",对照!BH8,对照!BG8))</f>
        <v>保压时间</v>
      </c>
      <c r="B7" s="24"/>
      <c r="C7" s="22"/>
      <c r="D7" s="13"/>
      <c r="E7" s="22"/>
      <c r="F7" s="22"/>
      <c r="G7" s="26"/>
      <c r="I7" s="56"/>
      <c r="J7" s="38"/>
      <c r="K7" s="56"/>
      <c r="L7" s="38"/>
    </row>
    <row r="8" ht="15.95" customHeight="1" spans="1:12">
      <c r="A8" s="17" t="str">
        <f>IF(目录!G2="中文",对照!BG9,IF(目录!G2="English",对照!BH9,对照!BG9))</f>
        <v>冷却时间</v>
      </c>
      <c r="B8" s="24"/>
      <c r="C8" s="22"/>
      <c r="D8" s="13"/>
      <c r="E8" s="14"/>
      <c r="F8" s="22"/>
      <c r="G8" s="26"/>
      <c r="K8" s="56"/>
      <c r="L8" s="38"/>
    </row>
    <row r="9" ht="15.95" customHeight="1" spans="1:12">
      <c r="A9" s="17" t="str">
        <f>IF(目录!G2="中文",对照!BG10,IF(目录!G2="English",对照!BH10,对照!BG10))</f>
        <v>开模时间</v>
      </c>
      <c r="B9" s="24"/>
      <c r="C9" s="22"/>
      <c r="D9" s="13"/>
      <c r="E9" s="22"/>
      <c r="F9" s="22"/>
      <c r="G9" s="26"/>
      <c r="K9" s="56"/>
      <c r="L9" s="38"/>
    </row>
    <row r="10" ht="15.95" customHeight="1" spans="1:12">
      <c r="A10" s="17" t="str">
        <f>IF(目录!G2="中文",对照!BG11,IF(目录!G2="English",对照!BH11,对照!BG11))</f>
        <v>取产品时间</v>
      </c>
      <c r="B10" s="24"/>
      <c r="C10" s="22"/>
      <c r="D10" s="13"/>
      <c r="E10" s="22"/>
      <c r="F10" s="22"/>
      <c r="G10" s="26"/>
      <c r="L10" s="38"/>
    </row>
    <row r="11" ht="15.95" customHeight="1" spans="1:12">
      <c r="A11" s="17" t="str">
        <f>IF(目录!G2="中文",对照!BG12,IF(目录!G2="English",对照!BH12,对照!BG12))</f>
        <v>机械手取件时间</v>
      </c>
      <c r="B11" s="24"/>
      <c r="C11" s="22"/>
      <c r="D11" s="13"/>
      <c r="E11" s="13"/>
      <c r="F11" s="22"/>
      <c r="G11" s="26"/>
      <c r="K11" s="56"/>
      <c r="L11" s="38"/>
    </row>
    <row r="12" ht="15.95" customHeight="1" spans="1:12">
      <c r="A12" s="17" t="str">
        <f>IF(目录!G2="中文",对照!BG13,IF(目录!G2="English",对照!BH13,对照!BG13))</f>
        <v>合模时间</v>
      </c>
      <c r="B12" s="24"/>
      <c r="C12" s="22"/>
      <c r="D12" s="13"/>
      <c r="E12" s="13"/>
      <c r="F12" s="22"/>
      <c r="G12" s="26"/>
      <c r="K12" s="56"/>
      <c r="L12" s="38"/>
    </row>
    <row r="13" ht="15.95" customHeight="1" spans="1:12">
      <c r="A13" s="17" t="str">
        <f>IF(目录!G2="中文",对照!BG14,IF(目录!G2="English",对照!BH14,对照!BG14))</f>
        <v>所有周期时间</v>
      </c>
      <c r="B13" s="24"/>
      <c r="C13" s="27"/>
      <c r="D13" s="13"/>
      <c r="E13" s="13"/>
      <c r="F13" s="22"/>
      <c r="G13" s="23"/>
      <c r="I13" s="38"/>
      <c r="J13" s="38"/>
      <c r="K13" s="38"/>
      <c r="L13" s="38"/>
    </row>
    <row r="14" ht="15.95" customHeight="1" spans="1:12">
      <c r="A14" s="28"/>
      <c r="B14" s="22"/>
      <c r="C14" s="22"/>
      <c r="D14" s="13"/>
      <c r="E14" s="13"/>
      <c r="F14" s="22"/>
      <c r="G14" s="23"/>
      <c r="I14" s="38"/>
      <c r="J14" s="38"/>
      <c r="K14" s="38"/>
      <c r="L14" s="57"/>
    </row>
    <row r="15" ht="15.95" customHeight="1" spans="1:12">
      <c r="A15" s="29" t="str">
        <f>IF(目录!G2="中文",对照!BG16,IF(目录!G2="English",对照!BH16,对照!BG16))</f>
        <v>回料时间</v>
      </c>
      <c r="B15" s="30"/>
      <c r="C15" s="31"/>
      <c r="D15" s="13"/>
      <c r="E15" s="25"/>
      <c r="F15" s="22"/>
      <c r="G15" s="23"/>
      <c r="I15" s="38"/>
      <c r="J15" s="38"/>
      <c r="K15" s="38"/>
      <c r="L15" s="58"/>
    </row>
    <row r="16" ht="15.95" customHeight="1" spans="1:12">
      <c r="A16" s="32"/>
      <c r="B16" s="33"/>
      <c r="C16" s="34"/>
      <c r="D16" s="35"/>
      <c r="E16" s="36"/>
      <c r="F16" s="36"/>
      <c r="G16" s="37"/>
      <c r="I16" s="38"/>
      <c r="J16" s="38"/>
      <c r="K16" s="38"/>
      <c r="L16" s="58"/>
    </row>
    <row r="17" ht="15.75" customHeight="1" spans="5:12">
      <c r="E17" s="38"/>
      <c r="F17" s="38"/>
      <c r="G17" s="38"/>
      <c r="I17" s="38"/>
      <c r="J17" s="38"/>
      <c r="K17" s="38"/>
      <c r="L17" s="59"/>
    </row>
    <row r="18" ht="15.75" customHeight="1" spans="1:12">
      <c r="A18" s="2"/>
      <c r="D18" s="2"/>
      <c r="E18" s="2"/>
      <c r="I18" s="38"/>
      <c r="J18" s="38"/>
      <c r="K18" s="38"/>
      <c r="L18" s="59"/>
    </row>
    <row r="19" ht="15.75" customHeight="1" spans="1:12">
      <c r="A19" s="2"/>
      <c r="D19" s="2"/>
      <c r="E19" s="2"/>
      <c r="I19" s="38"/>
      <c r="J19" s="38"/>
      <c r="K19" s="38"/>
      <c r="L19" s="59"/>
    </row>
    <row r="20" ht="15.75" customHeight="1" spans="1:12">
      <c r="A20" s="2"/>
      <c r="D20" s="2"/>
      <c r="E20" s="2"/>
      <c r="I20" s="38"/>
      <c r="J20" s="38"/>
      <c r="K20" s="38"/>
      <c r="L20" s="59"/>
    </row>
    <row r="21" ht="15.75" customHeight="1" spans="1:12">
      <c r="A21" s="2"/>
      <c r="D21" s="2"/>
      <c r="E21" s="2"/>
      <c r="I21" s="38"/>
      <c r="J21" s="38"/>
      <c r="K21" s="38"/>
      <c r="L21" s="59"/>
    </row>
    <row r="22" ht="15.75" customHeight="1" spans="1:12">
      <c r="A22" s="2"/>
      <c r="D22" s="2"/>
      <c r="E22" s="2"/>
      <c r="I22" s="38"/>
      <c r="J22" s="38"/>
      <c r="K22" s="38"/>
      <c r="L22" s="59"/>
    </row>
    <row r="23" ht="15.75" customHeight="1" spans="1:12">
      <c r="A23" s="2"/>
      <c r="D23" s="2"/>
      <c r="E23" s="2"/>
      <c r="I23" s="38"/>
      <c r="J23" s="38"/>
      <c r="K23" s="38"/>
      <c r="L23" s="59"/>
    </row>
    <row r="24" ht="15.75" customHeight="1" spans="1:12">
      <c r="A24" s="2"/>
      <c r="D24" s="2"/>
      <c r="E24" s="2"/>
      <c r="I24" s="38"/>
      <c r="J24" s="38"/>
      <c r="K24" s="38"/>
      <c r="L24" s="59"/>
    </row>
    <row r="25" ht="15.75" customHeight="1" spans="1:12">
      <c r="A25" s="2"/>
      <c r="D25" s="2"/>
      <c r="E25" s="2"/>
      <c r="I25" s="38"/>
      <c r="J25" s="38"/>
      <c r="K25" s="38"/>
      <c r="L25" s="59"/>
    </row>
    <row r="26" ht="15.75" customHeight="1" spans="1:12">
      <c r="A26" s="2"/>
      <c r="D26" s="2"/>
      <c r="E26" s="2"/>
      <c r="I26" s="38"/>
      <c r="J26" s="38"/>
      <c r="K26" s="38"/>
      <c r="L26" s="59"/>
    </row>
    <row r="27" ht="15.75" customHeight="1" spans="1:12">
      <c r="A27" s="2"/>
      <c r="D27" s="2"/>
      <c r="E27" s="2"/>
      <c r="I27" s="38"/>
      <c r="J27" s="38"/>
      <c r="K27" s="38"/>
      <c r="L27" s="59"/>
    </row>
    <row r="28" ht="15.75" customHeight="1" spans="1:12">
      <c r="A28" s="2"/>
      <c r="D28" s="2"/>
      <c r="E28" s="2"/>
      <c r="I28" s="38"/>
      <c r="J28" s="38"/>
      <c r="K28" s="38"/>
      <c r="L28" s="59"/>
    </row>
    <row r="29" ht="15.75" customHeight="1" spans="1:12">
      <c r="A29" s="2"/>
      <c r="D29" s="2"/>
      <c r="E29" s="2"/>
      <c r="I29" s="38"/>
      <c r="J29" s="38"/>
      <c r="K29" s="38"/>
      <c r="L29" s="59"/>
    </row>
    <row r="30" ht="15.95" customHeight="1" spans="1:12">
      <c r="A30" s="2"/>
      <c r="D30" s="2"/>
      <c r="E30" s="2"/>
      <c r="I30" s="60"/>
      <c r="J30" s="60"/>
      <c r="K30" s="60"/>
      <c r="L30" s="57"/>
    </row>
    <row r="31" ht="15.95" customHeight="1" spans="1:31">
      <c r="A31" s="2"/>
      <c r="D31" s="2"/>
      <c r="E31" s="2"/>
      <c r="I31" s="38"/>
      <c r="J31" s="38"/>
      <c r="K31" s="38"/>
      <c r="L31" s="38"/>
      <c r="M31" s="61"/>
      <c r="N31" s="61"/>
      <c r="O31" s="61"/>
      <c r="P31" s="61"/>
      <c r="Q31" s="61"/>
      <c r="R31" s="61"/>
      <c r="S31" s="61"/>
      <c r="T31" s="61"/>
      <c r="U31" s="61"/>
      <c r="V31" s="61"/>
      <c r="W31" s="61"/>
      <c r="X31" s="61"/>
      <c r="Y31" s="61"/>
      <c r="Z31" s="61"/>
      <c r="AA31" s="61"/>
      <c r="AB31" s="61"/>
      <c r="AC31" s="61"/>
      <c r="AD31" s="61"/>
      <c r="AE31" s="61"/>
    </row>
    <row r="32" ht="15.95" customHeight="1" spans="1:31">
      <c r="A32" s="39"/>
      <c r="B32" s="39"/>
      <c r="C32" s="39"/>
      <c r="D32" s="39"/>
      <c r="E32" s="39"/>
      <c r="F32" s="39"/>
      <c r="G32" s="39"/>
      <c r="I32" s="38"/>
      <c r="J32" s="38"/>
      <c r="K32" s="38"/>
      <c r="L32" s="38"/>
      <c r="M32" s="61"/>
      <c r="N32" s="61"/>
      <c r="O32" s="61"/>
      <c r="P32" s="61"/>
      <c r="Q32" s="61"/>
      <c r="R32" s="61"/>
      <c r="S32" s="61"/>
      <c r="T32" s="61"/>
      <c r="U32" s="61"/>
      <c r="V32" s="61"/>
      <c r="W32" s="61"/>
      <c r="X32" s="61"/>
      <c r="Y32" s="61"/>
      <c r="Z32" s="61"/>
      <c r="AA32" s="61"/>
      <c r="AB32" s="61"/>
      <c r="AC32" s="61"/>
      <c r="AD32" s="61"/>
      <c r="AE32" s="61"/>
    </row>
    <row r="33" ht="15.95" customHeight="1" spans="1:31">
      <c r="A33" s="40" t="s">
        <v>1767</v>
      </c>
      <c r="B33" s="41"/>
      <c r="C33" s="41"/>
      <c r="D33" s="41"/>
      <c r="E33" s="41"/>
      <c r="F33" s="41"/>
      <c r="G33" s="41"/>
      <c r="I33" s="38"/>
      <c r="J33" s="38"/>
      <c r="K33" s="38"/>
      <c r="L33" s="38"/>
      <c r="M33" s="61"/>
      <c r="N33" s="61"/>
      <c r="O33" s="61"/>
      <c r="P33" s="61"/>
      <c r="Q33" s="61"/>
      <c r="R33" s="61"/>
      <c r="S33" s="61"/>
      <c r="T33" s="61"/>
      <c r="U33" s="61"/>
      <c r="V33" s="61"/>
      <c r="W33" s="61"/>
      <c r="X33" s="61"/>
      <c r="Y33" s="61"/>
      <c r="Z33" s="61"/>
      <c r="AA33" s="61"/>
      <c r="AB33" s="61"/>
      <c r="AC33" s="61"/>
      <c r="AD33" s="61"/>
      <c r="AE33" s="61"/>
    </row>
    <row r="34" ht="15.95" customHeight="1" spans="1:31">
      <c r="A34" s="42"/>
      <c r="B34" s="42"/>
      <c r="C34" s="42"/>
      <c r="D34" s="42"/>
      <c r="E34" s="42"/>
      <c r="F34" s="42"/>
      <c r="G34" s="42"/>
      <c r="I34" s="38"/>
      <c r="J34" s="38"/>
      <c r="K34" s="38"/>
      <c r="L34" s="38"/>
      <c r="M34" s="61"/>
      <c r="N34" s="61"/>
      <c r="O34" s="61"/>
      <c r="P34" s="61"/>
      <c r="Q34" s="61"/>
      <c r="R34" s="61"/>
      <c r="S34" s="61"/>
      <c r="T34" s="61"/>
      <c r="U34" s="61"/>
      <c r="V34" s="61"/>
      <c r="W34" s="61"/>
      <c r="X34" s="61"/>
      <c r="Y34" s="61"/>
      <c r="Z34" s="61"/>
      <c r="AA34" s="61"/>
      <c r="AB34" s="61"/>
      <c r="AC34" s="61"/>
      <c r="AD34" s="61"/>
      <c r="AE34" s="61"/>
    </row>
    <row r="35" ht="15.95" customHeight="1" spans="1:31">
      <c r="A35" s="43"/>
      <c r="B35" s="44"/>
      <c r="C35" s="44"/>
      <c r="D35" s="44"/>
      <c r="E35" s="44"/>
      <c r="F35" s="44"/>
      <c r="G35" s="45"/>
      <c r="I35" s="38"/>
      <c r="J35" s="38"/>
      <c r="K35" s="38"/>
      <c r="L35" s="38"/>
      <c r="M35" s="61"/>
      <c r="N35" s="61"/>
      <c r="O35" s="61"/>
      <c r="P35" s="61"/>
      <c r="Q35" s="61"/>
      <c r="R35" s="61"/>
      <c r="S35" s="61"/>
      <c r="T35" s="61"/>
      <c r="U35" s="61"/>
      <c r="V35" s="61"/>
      <c r="W35" s="61"/>
      <c r="X35" s="61"/>
      <c r="Y35" s="61"/>
      <c r="Z35" s="61"/>
      <c r="AA35" s="61"/>
      <c r="AB35" s="61"/>
      <c r="AC35" s="61"/>
      <c r="AD35" s="61"/>
      <c r="AE35" s="61"/>
    </row>
    <row r="36" ht="15.95" customHeight="1" spans="1:31">
      <c r="A36" s="46"/>
      <c r="B36" s="47"/>
      <c r="C36" s="47"/>
      <c r="D36" s="47"/>
      <c r="E36" s="47"/>
      <c r="F36" s="47"/>
      <c r="G36" s="48"/>
      <c r="I36" s="38"/>
      <c r="J36" s="38"/>
      <c r="K36" s="38"/>
      <c r="L36" s="38"/>
      <c r="M36" s="61"/>
      <c r="N36" s="61"/>
      <c r="O36" s="61"/>
      <c r="P36" s="61"/>
      <c r="Q36" s="61"/>
      <c r="R36" s="61"/>
      <c r="S36" s="61"/>
      <c r="T36" s="61"/>
      <c r="U36" s="61"/>
      <c r="V36" s="61"/>
      <c r="W36" s="61"/>
      <c r="X36" s="61"/>
      <c r="Y36" s="61"/>
      <c r="Z36" s="61"/>
      <c r="AA36" s="61"/>
      <c r="AB36" s="61"/>
      <c r="AC36" s="61"/>
      <c r="AD36" s="61"/>
      <c r="AE36" s="61"/>
    </row>
    <row r="37" ht="15.95" customHeight="1" spans="1:31">
      <c r="A37" s="46"/>
      <c r="B37" s="47"/>
      <c r="C37" s="47"/>
      <c r="D37" s="47"/>
      <c r="E37" s="47"/>
      <c r="F37" s="47"/>
      <c r="G37" s="48"/>
      <c r="I37" s="38"/>
      <c r="J37" s="38"/>
      <c r="K37" s="38"/>
      <c r="L37" s="38"/>
      <c r="M37" s="61"/>
      <c r="N37" s="61"/>
      <c r="O37" s="61"/>
      <c r="P37" s="61"/>
      <c r="Q37" s="61"/>
      <c r="R37" s="61"/>
      <c r="S37" s="61"/>
      <c r="T37" s="61"/>
      <c r="U37" s="61"/>
      <c r="V37" s="61"/>
      <c r="W37" s="61"/>
      <c r="X37" s="61"/>
      <c r="Y37" s="61"/>
      <c r="Z37" s="61"/>
      <c r="AA37" s="61"/>
      <c r="AB37" s="61"/>
      <c r="AC37" s="61"/>
      <c r="AD37" s="61"/>
      <c r="AE37" s="61"/>
    </row>
    <row r="38" ht="15.95" customHeight="1" spans="1:31">
      <c r="A38" s="46"/>
      <c r="B38" s="47"/>
      <c r="C38" s="47"/>
      <c r="D38" s="47"/>
      <c r="E38" s="47"/>
      <c r="F38" s="47"/>
      <c r="G38" s="48"/>
      <c r="I38" s="38"/>
      <c r="J38" s="38"/>
      <c r="K38" s="38"/>
      <c r="L38" s="38"/>
      <c r="M38" s="61"/>
      <c r="N38" s="61"/>
      <c r="O38" s="61"/>
      <c r="P38" s="61"/>
      <c r="Q38" s="61"/>
      <c r="R38" s="61"/>
      <c r="S38" s="61"/>
      <c r="T38" s="61"/>
      <c r="U38" s="61"/>
      <c r="V38" s="61"/>
      <c r="W38" s="61"/>
      <c r="X38" s="61"/>
      <c r="Y38" s="61"/>
      <c r="Z38" s="61"/>
      <c r="AA38" s="61"/>
      <c r="AB38" s="61"/>
      <c r="AC38" s="61"/>
      <c r="AD38" s="61"/>
      <c r="AE38" s="61"/>
    </row>
    <row r="39" ht="15.95" customHeight="1" spans="1:31">
      <c r="A39" s="46"/>
      <c r="B39" s="47"/>
      <c r="C39" s="47"/>
      <c r="D39" s="47"/>
      <c r="E39" s="47"/>
      <c r="F39" s="47"/>
      <c r="G39" s="48"/>
      <c r="I39" s="38"/>
      <c r="J39" s="38"/>
      <c r="K39" s="38"/>
      <c r="L39" s="38"/>
      <c r="M39" s="61"/>
      <c r="N39" s="61"/>
      <c r="O39" s="61"/>
      <c r="P39" s="61"/>
      <c r="Q39" s="61"/>
      <c r="R39" s="61"/>
      <c r="S39" s="61"/>
      <c r="T39" s="61"/>
      <c r="U39" s="61"/>
      <c r="V39" s="61"/>
      <c r="W39" s="61"/>
      <c r="X39" s="61"/>
      <c r="Y39" s="61"/>
      <c r="Z39" s="61"/>
      <c r="AA39" s="61"/>
      <c r="AB39" s="61"/>
      <c r="AC39" s="61"/>
      <c r="AD39" s="61"/>
      <c r="AE39" s="61"/>
    </row>
    <row r="40" ht="15.95" customHeight="1" spans="1:31">
      <c r="A40" s="46"/>
      <c r="B40" s="47"/>
      <c r="C40" s="47"/>
      <c r="D40" s="47"/>
      <c r="E40" s="47"/>
      <c r="F40" s="47"/>
      <c r="G40" s="48"/>
      <c r="I40" s="38"/>
      <c r="J40" s="38"/>
      <c r="K40" s="38"/>
      <c r="L40" s="38"/>
      <c r="M40" s="61"/>
      <c r="N40" s="61"/>
      <c r="O40" s="61"/>
      <c r="P40" s="61"/>
      <c r="Q40" s="61"/>
      <c r="R40" s="61"/>
      <c r="S40" s="61"/>
      <c r="T40" s="61"/>
      <c r="U40" s="61"/>
      <c r="V40" s="61"/>
      <c r="W40" s="61"/>
      <c r="X40" s="61"/>
      <c r="Y40" s="61"/>
      <c r="Z40" s="61"/>
      <c r="AA40" s="61"/>
      <c r="AB40" s="61"/>
      <c r="AC40" s="61"/>
      <c r="AD40" s="61"/>
      <c r="AE40" s="61"/>
    </row>
    <row r="41" ht="15.95" customHeight="1" spans="1:31">
      <c r="A41" s="46"/>
      <c r="B41" s="47"/>
      <c r="C41" s="47"/>
      <c r="D41" s="47"/>
      <c r="E41" s="47"/>
      <c r="F41" s="47"/>
      <c r="G41" s="48"/>
      <c r="I41" s="38"/>
      <c r="J41" s="38"/>
      <c r="K41" s="38"/>
      <c r="L41" s="38"/>
      <c r="M41" s="61"/>
      <c r="N41" s="61"/>
      <c r="O41" s="61"/>
      <c r="P41" s="61"/>
      <c r="Q41" s="61"/>
      <c r="R41" s="61"/>
      <c r="S41" s="61"/>
      <c r="T41" s="61"/>
      <c r="U41" s="61"/>
      <c r="V41" s="61"/>
      <c r="W41" s="61"/>
      <c r="X41" s="61"/>
      <c r="Y41" s="61"/>
      <c r="Z41" s="61"/>
      <c r="AA41" s="61"/>
      <c r="AB41" s="61"/>
      <c r="AC41" s="61"/>
      <c r="AD41" s="61"/>
      <c r="AE41" s="61"/>
    </row>
    <row r="42" ht="15.95" customHeight="1" spans="1:7">
      <c r="A42" s="49"/>
      <c r="B42" s="50"/>
      <c r="C42" s="50"/>
      <c r="D42" s="50"/>
      <c r="E42" s="50"/>
      <c r="F42" s="50"/>
      <c r="G42" s="51"/>
    </row>
    <row r="43" ht="15.95" customHeight="1" spans="1:7">
      <c r="A43" s="52"/>
      <c r="B43" s="53"/>
      <c r="C43" s="53"/>
      <c r="D43" s="52"/>
      <c r="E43" s="52"/>
      <c r="F43" s="53"/>
      <c r="G43" s="54" t="s">
        <v>1772</v>
      </c>
    </row>
  </sheetData>
  <mergeCells count="5">
    <mergeCell ref="A1:G1"/>
    <mergeCell ref="A2:G2"/>
    <mergeCell ref="A35:G42"/>
    <mergeCell ref="A33:G34"/>
    <mergeCell ref="A18:G31"/>
  </mergeCells>
  <hyperlinks>
    <hyperlink ref="A1" location="Catalogue!A1" display="Back"/>
    <hyperlink ref="A1:G1" location="目录!A1" display="Back"/>
  </hyperlinks>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17</vt:i4>
      </vt:variant>
    </vt:vector>
  </HeadingPairs>
  <TitlesOfParts>
    <vt:vector size="17" baseType="lpstr">
      <vt:lpstr>目录</vt:lpstr>
      <vt:lpstr>对照</vt:lpstr>
      <vt:lpstr>试模总结报告</vt:lpstr>
      <vt:lpstr>模具表现评估</vt:lpstr>
      <vt:lpstr>试模参数记录表</vt:lpstr>
      <vt:lpstr>试模参数记录表-副射台</vt:lpstr>
      <vt:lpstr>模具问题点履历</vt:lpstr>
      <vt:lpstr>模具运水状况测试</vt:lpstr>
      <vt:lpstr>模具冷却均匀性测试</vt:lpstr>
      <vt:lpstr>有效粘度测试</vt:lpstr>
      <vt:lpstr>多型腔平衡测试</vt:lpstr>
      <vt:lpstr>压力损失测试</vt:lpstr>
      <vt:lpstr>保压压力测试</vt:lpstr>
      <vt:lpstr>浇口冻结时间测试</vt:lpstr>
      <vt:lpstr>冷却时间测试</vt:lpstr>
      <vt:lpstr>锁模力测试</vt:lpstr>
      <vt:lpstr>周期时间测试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 peng</dc:creator>
  <cp:lastModifiedBy>hust</cp:lastModifiedBy>
  <dcterms:created xsi:type="dcterms:W3CDTF">2015-06-05T18:19:00Z</dcterms:created>
  <cp:lastPrinted>2021-06-17T01:21:00Z</cp:lastPrinted>
  <dcterms:modified xsi:type="dcterms:W3CDTF">2023-08-31T02:47:40Z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bf1e9266-bb1b-4e95-ba3e-0f9df93333dd</vt:lpwstr>
  </property>
  <property fmtid="{D5CDD505-2E9C-101B-9397-08002B2CF9AE}" pid="3" name="ICV">
    <vt:lpwstr>FECD271934D247379CD9293C188A83BD</vt:lpwstr>
  </property>
  <property fmtid="{D5CDD505-2E9C-101B-9397-08002B2CF9AE}" pid="4" name="KSOProductBuildVer">
    <vt:lpwstr>2052-11.1.0.14309</vt:lpwstr>
  </property>
</Properties>
</file>